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bdo\ط\Data\4 - dubai-project-management-data-main\cleaned\"/>
    </mc:Choice>
  </mc:AlternateContent>
  <xr:revisionPtr revIDLastSave="0" documentId="13_ncr:1_{3F9F92BA-55C2-4195-B8DC-E45E97D6C0DE}" xr6:coauthVersionLast="47" xr6:coauthVersionMax="47" xr10:uidLastSave="{00000000-0000-0000-0000-000000000000}"/>
  <bookViews>
    <workbookView xWindow="-120" yWindow="-120" windowWidth="29040" windowHeight="15720" activeTab="3" xr2:uid="{62F4A11F-9068-4FC8-9292-41819A0D88EB}"/>
  </bookViews>
  <sheets>
    <sheet name="عدد المشاريع اللي عندها Overdue" sheetId="14" r:id="rId1"/>
    <sheet name="توزيع التأخير حسب Phase" sheetId="15" r:id="rId2"/>
    <sheet name="Average Delay by Project" sheetId="16" r:id="rId3"/>
    <sheet name="project_phases" sheetId="1" r:id="rId4"/>
  </sheets>
  <definedNames>
    <definedName name="_xlnm._FilterDatabase" localSheetId="3" hidden="1">project_phases!$A$1:$U$1001</definedName>
    <definedName name="_xlnm.Print_Area" localSheetId="3">project_phases!$A$1:$U$1001</definedName>
  </definedNames>
  <calcPr calcId="191029"/>
  <pivotCaches>
    <pivotCache cacheId="14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3" i="1" l="1"/>
  <c r="T4" i="1"/>
  <c r="T5" i="1"/>
  <c r="T6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22" i="1"/>
  <c r="T423" i="1"/>
  <c r="T424" i="1"/>
  <c r="T425" i="1"/>
  <c r="T426" i="1"/>
  <c r="T432" i="1"/>
  <c r="T433" i="1"/>
  <c r="T434" i="1"/>
  <c r="T435" i="1"/>
  <c r="T436" i="1"/>
  <c r="T437" i="1"/>
  <c r="T438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22" i="1"/>
  <c r="T523" i="1"/>
  <c r="T524" i="1"/>
  <c r="T525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22" i="1"/>
  <c r="T623" i="1"/>
  <c r="T632" i="1"/>
  <c r="T633" i="1"/>
  <c r="T634" i="1"/>
  <c r="T635" i="1"/>
  <c r="T636" i="1"/>
  <c r="T637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32" i="1"/>
  <c r="T733" i="1"/>
  <c r="T734" i="1"/>
  <c r="T735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82" i="1"/>
  <c r="T883" i="1"/>
  <c r="T884" i="1"/>
  <c r="T885" i="1"/>
  <c r="T892" i="1"/>
  <c r="T893" i="1"/>
  <c r="T894" i="1"/>
  <c r="T895" i="1"/>
  <c r="T902" i="1"/>
  <c r="T903" i="1"/>
  <c r="T904" i="1"/>
  <c r="T905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S7" i="1"/>
  <c r="T7" i="1" s="1"/>
  <c r="U3" i="1"/>
  <c r="U4" i="1"/>
  <c r="U5" i="1"/>
  <c r="U6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22" i="1"/>
  <c r="U423" i="1"/>
  <c r="U424" i="1"/>
  <c r="U425" i="1"/>
  <c r="U426" i="1"/>
  <c r="U432" i="1"/>
  <c r="U433" i="1"/>
  <c r="U434" i="1"/>
  <c r="U435" i="1"/>
  <c r="U436" i="1"/>
  <c r="U437" i="1"/>
  <c r="U438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22" i="1"/>
  <c r="U523" i="1"/>
  <c r="U524" i="1"/>
  <c r="U525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22" i="1"/>
  <c r="U623" i="1"/>
  <c r="U632" i="1"/>
  <c r="U633" i="1"/>
  <c r="U634" i="1"/>
  <c r="U635" i="1"/>
  <c r="U636" i="1"/>
  <c r="U637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32" i="1"/>
  <c r="U733" i="1"/>
  <c r="U734" i="1"/>
  <c r="U735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82" i="1"/>
  <c r="U883" i="1"/>
  <c r="U884" i="1"/>
  <c r="U885" i="1"/>
  <c r="U892" i="1"/>
  <c r="U893" i="1"/>
  <c r="U894" i="1"/>
  <c r="U895" i="1"/>
  <c r="U902" i="1"/>
  <c r="U903" i="1"/>
  <c r="U904" i="1"/>
  <c r="U905" i="1"/>
  <c r="U912" i="1"/>
  <c r="U913" i="1"/>
  <c r="U914" i="1"/>
  <c r="U915" i="1"/>
  <c r="U916" i="1"/>
  <c r="U917" i="1"/>
  <c r="U918" i="1"/>
  <c r="U919" i="1"/>
  <c r="U920" i="1"/>
  <c r="U921" i="1"/>
  <c r="U922" i="1"/>
  <c r="U923" i="1"/>
  <c r="U924" i="1"/>
  <c r="U925" i="1"/>
  <c r="U926" i="1"/>
  <c r="U927" i="1"/>
  <c r="U928" i="1"/>
  <c r="U929" i="1"/>
  <c r="U930" i="1"/>
  <c r="U931" i="1"/>
  <c r="U932" i="1"/>
  <c r="U933" i="1"/>
  <c r="U934" i="1"/>
  <c r="U935" i="1"/>
  <c r="U936" i="1"/>
  <c r="U937" i="1"/>
  <c r="U938" i="1"/>
  <c r="U939" i="1"/>
  <c r="U940" i="1"/>
  <c r="U941" i="1"/>
  <c r="U942" i="1"/>
  <c r="U943" i="1"/>
  <c r="U944" i="1"/>
  <c r="U945" i="1"/>
  <c r="U946" i="1"/>
  <c r="U947" i="1"/>
  <c r="U948" i="1"/>
  <c r="U949" i="1"/>
  <c r="U950" i="1"/>
  <c r="U951" i="1"/>
  <c r="U952" i="1"/>
  <c r="U953" i="1"/>
  <c r="U954" i="1"/>
  <c r="U955" i="1"/>
  <c r="U956" i="1"/>
  <c r="U957" i="1"/>
  <c r="U958" i="1"/>
  <c r="U959" i="1"/>
  <c r="U960" i="1"/>
  <c r="U961" i="1"/>
  <c r="U962" i="1"/>
  <c r="U963" i="1"/>
  <c r="U964" i="1"/>
  <c r="U965" i="1"/>
  <c r="U966" i="1"/>
  <c r="U967" i="1"/>
  <c r="U968" i="1"/>
  <c r="U969" i="1"/>
  <c r="U970" i="1"/>
  <c r="U971" i="1"/>
  <c r="U972" i="1"/>
  <c r="U973" i="1"/>
  <c r="U974" i="1"/>
  <c r="U975" i="1"/>
  <c r="U976" i="1"/>
  <c r="U977" i="1"/>
  <c r="U978" i="1"/>
  <c r="U979" i="1"/>
  <c r="U980" i="1"/>
  <c r="U981" i="1"/>
  <c r="U982" i="1"/>
  <c r="U983" i="1"/>
  <c r="U984" i="1"/>
  <c r="U985" i="1"/>
  <c r="U986" i="1"/>
  <c r="U987" i="1"/>
  <c r="U988" i="1"/>
  <c r="U989" i="1"/>
  <c r="U990" i="1"/>
  <c r="U991" i="1"/>
  <c r="U992" i="1"/>
  <c r="U993" i="1"/>
  <c r="U994" i="1"/>
  <c r="U995" i="1"/>
  <c r="U996" i="1"/>
  <c r="U997" i="1"/>
  <c r="U998" i="1"/>
  <c r="U999" i="1"/>
  <c r="U1000" i="1"/>
  <c r="U1001" i="1"/>
  <c r="U2" i="1"/>
  <c r="T2" i="1"/>
  <c r="S9" i="1"/>
  <c r="T9" i="1" s="1"/>
  <c r="S8" i="1"/>
  <c r="T8" i="1" s="1"/>
  <c r="S911" i="1"/>
  <c r="T911" i="1" s="1"/>
  <c r="S910" i="1"/>
  <c r="T910" i="1" s="1"/>
  <c r="S909" i="1"/>
  <c r="T909" i="1" s="1"/>
  <c r="S908" i="1"/>
  <c r="T908" i="1" s="1"/>
  <c r="S907" i="1"/>
  <c r="T907" i="1" s="1"/>
  <c r="S906" i="1"/>
  <c r="T906" i="1" s="1"/>
  <c r="S901" i="1"/>
  <c r="T901" i="1" s="1"/>
  <c r="S900" i="1"/>
  <c r="T900" i="1" s="1"/>
  <c r="S899" i="1"/>
  <c r="T899" i="1" s="1"/>
  <c r="S898" i="1"/>
  <c r="T898" i="1" s="1"/>
  <c r="S897" i="1"/>
  <c r="T897" i="1" s="1"/>
  <c r="S896" i="1"/>
  <c r="T896" i="1" s="1"/>
  <c r="S891" i="1"/>
  <c r="T891" i="1" s="1"/>
  <c r="S890" i="1"/>
  <c r="T890" i="1" s="1"/>
  <c r="S889" i="1"/>
  <c r="T889" i="1" s="1"/>
  <c r="S888" i="1"/>
  <c r="T888" i="1" s="1"/>
  <c r="S887" i="1"/>
  <c r="T887" i="1" s="1"/>
  <c r="S886" i="1"/>
  <c r="T886" i="1" s="1"/>
  <c r="S881" i="1"/>
  <c r="T881" i="1" s="1"/>
  <c r="S880" i="1"/>
  <c r="T880" i="1" s="1"/>
  <c r="S879" i="1"/>
  <c r="T879" i="1" s="1"/>
  <c r="S831" i="1"/>
  <c r="T831" i="1" s="1"/>
  <c r="S830" i="1"/>
  <c r="T830" i="1" s="1"/>
  <c r="S829" i="1"/>
  <c r="T829" i="1" s="1"/>
  <c r="S828" i="1"/>
  <c r="T828" i="1" s="1"/>
  <c r="S811" i="1"/>
  <c r="T811" i="1" s="1"/>
  <c r="S810" i="1"/>
  <c r="T810" i="1" s="1"/>
  <c r="S809" i="1"/>
  <c r="T809" i="1" s="1"/>
  <c r="S808" i="1"/>
  <c r="T808" i="1" s="1"/>
  <c r="S741" i="1"/>
  <c r="T741" i="1" s="1"/>
  <c r="S740" i="1"/>
  <c r="T740" i="1" s="1"/>
  <c r="S739" i="1"/>
  <c r="T739" i="1" s="1"/>
  <c r="S738" i="1"/>
  <c r="T738" i="1" s="1"/>
  <c r="S737" i="1"/>
  <c r="T737" i="1" s="1"/>
  <c r="S736" i="1"/>
  <c r="T736" i="1" s="1"/>
  <c r="S731" i="1"/>
  <c r="T731" i="1" s="1"/>
  <c r="S730" i="1"/>
  <c r="T730" i="1" s="1"/>
  <c r="S729" i="1"/>
  <c r="T729" i="1" s="1"/>
  <c r="S728" i="1"/>
  <c r="T728" i="1" s="1"/>
  <c r="S727" i="1"/>
  <c r="T727" i="1" s="1"/>
  <c r="S726" i="1"/>
  <c r="T726" i="1" s="1"/>
  <c r="S711" i="1"/>
  <c r="T711" i="1" s="1"/>
  <c r="S710" i="1"/>
  <c r="T710" i="1" s="1"/>
  <c r="S709" i="1"/>
  <c r="T709" i="1" s="1"/>
  <c r="S708" i="1"/>
  <c r="T708" i="1" s="1"/>
  <c r="S707" i="1"/>
  <c r="T707" i="1" s="1"/>
  <c r="S706" i="1"/>
  <c r="T706" i="1" s="1"/>
  <c r="S691" i="1"/>
  <c r="T691" i="1" s="1"/>
  <c r="S690" i="1"/>
  <c r="T690" i="1" s="1"/>
  <c r="S689" i="1"/>
  <c r="T689" i="1" s="1"/>
  <c r="S688" i="1"/>
  <c r="T688" i="1" s="1"/>
  <c r="S687" i="1"/>
  <c r="T687" i="1" s="1"/>
  <c r="S686" i="1"/>
  <c r="T686" i="1" s="1"/>
  <c r="S685" i="1"/>
  <c r="T685" i="1" s="1"/>
  <c r="S671" i="1"/>
  <c r="T671" i="1" s="1"/>
  <c r="S670" i="1"/>
  <c r="T670" i="1" s="1"/>
  <c r="S669" i="1"/>
  <c r="T669" i="1" s="1"/>
  <c r="S668" i="1"/>
  <c r="T668" i="1" s="1"/>
  <c r="S667" i="1"/>
  <c r="T667" i="1" s="1"/>
  <c r="S641" i="1"/>
  <c r="T641" i="1" s="1"/>
  <c r="S640" i="1"/>
  <c r="T640" i="1" s="1"/>
  <c r="S639" i="1"/>
  <c r="T639" i="1" s="1"/>
  <c r="S638" i="1"/>
  <c r="T638" i="1" s="1"/>
  <c r="S631" i="1"/>
  <c r="T631" i="1" s="1"/>
  <c r="S630" i="1"/>
  <c r="T630" i="1" s="1"/>
  <c r="S629" i="1"/>
  <c r="T629" i="1" s="1"/>
  <c r="S628" i="1"/>
  <c r="T628" i="1" s="1"/>
  <c r="S627" i="1"/>
  <c r="T627" i="1" s="1"/>
  <c r="S626" i="1"/>
  <c r="T626" i="1" s="1"/>
  <c r="S625" i="1"/>
  <c r="T625" i="1" s="1"/>
  <c r="S624" i="1"/>
  <c r="T624" i="1" s="1"/>
  <c r="S621" i="1"/>
  <c r="T621" i="1" s="1"/>
  <c r="S620" i="1"/>
  <c r="T620" i="1" s="1"/>
  <c r="S619" i="1"/>
  <c r="T619" i="1" s="1"/>
  <c r="S618" i="1"/>
  <c r="T618" i="1" s="1"/>
  <c r="S617" i="1"/>
  <c r="T617" i="1" s="1"/>
  <c r="S616" i="1"/>
  <c r="T616" i="1" s="1"/>
  <c r="S615" i="1"/>
  <c r="T615" i="1" s="1"/>
  <c r="S601" i="1"/>
  <c r="T601" i="1" s="1"/>
  <c r="S600" i="1"/>
  <c r="T600" i="1" s="1"/>
  <c r="S599" i="1"/>
  <c r="T599" i="1" s="1"/>
  <c r="S598" i="1"/>
  <c r="T598" i="1" s="1"/>
  <c r="S597" i="1"/>
  <c r="T597" i="1" s="1"/>
  <c r="S596" i="1"/>
  <c r="T596" i="1" s="1"/>
  <c r="S561" i="1"/>
  <c r="T561" i="1" s="1"/>
  <c r="S560" i="1"/>
  <c r="T560" i="1" s="1"/>
  <c r="S559" i="1"/>
  <c r="T559" i="1" s="1"/>
  <c r="S558" i="1"/>
  <c r="T558" i="1" s="1"/>
  <c r="S557" i="1"/>
  <c r="T557" i="1" s="1"/>
  <c r="S556" i="1"/>
  <c r="T556" i="1" s="1"/>
  <c r="S531" i="1"/>
  <c r="T531" i="1" s="1"/>
  <c r="S530" i="1"/>
  <c r="T530" i="1" s="1"/>
  <c r="S529" i="1"/>
  <c r="T529" i="1" s="1"/>
  <c r="S528" i="1"/>
  <c r="T528" i="1" s="1"/>
  <c r="S527" i="1"/>
  <c r="T527" i="1" s="1"/>
  <c r="S526" i="1"/>
  <c r="T526" i="1" s="1"/>
  <c r="S521" i="1"/>
  <c r="T521" i="1" s="1"/>
  <c r="S520" i="1"/>
  <c r="T520" i="1" s="1"/>
  <c r="S519" i="1"/>
  <c r="T519" i="1" s="1"/>
  <c r="S518" i="1"/>
  <c r="T518" i="1" s="1"/>
  <c r="S517" i="1"/>
  <c r="T517" i="1" s="1"/>
  <c r="S516" i="1"/>
  <c r="T516" i="1" s="1"/>
  <c r="S515" i="1"/>
  <c r="T515" i="1" s="1"/>
  <c r="S471" i="1"/>
  <c r="T471" i="1" s="1"/>
  <c r="S470" i="1"/>
  <c r="T470" i="1" s="1"/>
  <c r="S469" i="1"/>
  <c r="T469" i="1" s="1"/>
  <c r="S441" i="1"/>
  <c r="T441" i="1" s="1"/>
  <c r="S440" i="1"/>
  <c r="T440" i="1" s="1"/>
  <c r="S439" i="1"/>
  <c r="T439" i="1" s="1"/>
  <c r="S431" i="1"/>
  <c r="T431" i="1" s="1"/>
  <c r="S430" i="1"/>
  <c r="T430" i="1" s="1"/>
  <c r="S429" i="1"/>
  <c r="T429" i="1" s="1"/>
  <c r="S428" i="1"/>
  <c r="T428" i="1" s="1"/>
  <c r="S427" i="1"/>
  <c r="T427" i="1" s="1"/>
  <c r="S421" i="1"/>
  <c r="T421" i="1" s="1"/>
  <c r="S420" i="1"/>
  <c r="T420" i="1" s="1"/>
  <c r="S419" i="1"/>
  <c r="T419" i="1" s="1"/>
  <c r="S418" i="1"/>
  <c r="T418" i="1" s="1"/>
  <c r="S401" i="1"/>
  <c r="T401" i="1" s="1"/>
  <c r="S400" i="1"/>
  <c r="T400" i="1" s="1"/>
  <c r="S399" i="1"/>
  <c r="T399" i="1" s="1"/>
  <c r="S398" i="1"/>
  <c r="T398" i="1" s="1"/>
  <c r="S397" i="1"/>
  <c r="T397" i="1" s="1"/>
  <c r="S396" i="1"/>
  <c r="T396" i="1" s="1"/>
  <c r="S395" i="1"/>
  <c r="T395" i="1" s="1"/>
  <c r="S351" i="1"/>
  <c r="T351" i="1" s="1"/>
  <c r="S350" i="1"/>
  <c r="T350" i="1" s="1"/>
  <c r="S349" i="1"/>
  <c r="T349" i="1" s="1"/>
  <c r="S231" i="1"/>
  <c r="T231" i="1" s="1"/>
  <c r="S230" i="1"/>
  <c r="T230" i="1" s="1"/>
  <c r="S229" i="1"/>
  <c r="T229" i="1" s="1"/>
  <c r="S228" i="1"/>
  <c r="T228" i="1" s="1"/>
  <c r="S227" i="1"/>
  <c r="T227" i="1" s="1"/>
  <c r="S191" i="1"/>
  <c r="T191" i="1" s="1"/>
  <c r="S190" i="1"/>
  <c r="T190" i="1" s="1"/>
  <c r="S189" i="1"/>
  <c r="T189" i="1" s="1"/>
  <c r="S188" i="1"/>
  <c r="T188" i="1" s="1"/>
  <c r="S121" i="1"/>
  <c r="T121" i="1" s="1"/>
  <c r="S120" i="1"/>
  <c r="T120" i="1" s="1"/>
  <c r="S119" i="1"/>
  <c r="T119" i="1" s="1"/>
  <c r="S61" i="1"/>
  <c r="T61" i="1" s="1"/>
  <c r="S60" i="1"/>
  <c r="T60" i="1" s="1"/>
  <c r="S59" i="1"/>
  <c r="T59" i="1" s="1"/>
  <c r="S11" i="1"/>
  <c r="T11" i="1" s="1"/>
  <c r="S10" i="1"/>
  <c r="T10" i="1" s="1"/>
  <c r="R3" i="1"/>
  <c r="R4" i="1"/>
  <c r="R5" i="1"/>
  <c r="R6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22" i="1"/>
  <c r="R423" i="1"/>
  <c r="R424" i="1"/>
  <c r="R425" i="1"/>
  <c r="R426" i="1"/>
  <c r="R432" i="1"/>
  <c r="R433" i="1"/>
  <c r="R434" i="1"/>
  <c r="R435" i="1"/>
  <c r="R436" i="1"/>
  <c r="R437" i="1"/>
  <c r="R438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22" i="1"/>
  <c r="R523" i="1"/>
  <c r="R524" i="1"/>
  <c r="R525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22" i="1"/>
  <c r="R623" i="1"/>
  <c r="R632" i="1"/>
  <c r="R633" i="1"/>
  <c r="R634" i="1"/>
  <c r="R635" i="1"/>
  <c r="R636" i="1"/>
  <c r="R637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32" i="1"/>
  <c r="R733" i="1"/>
  <c r="R734" i="1"/>
  <c r="R735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82" i="1"/>
  <c r="R883" i="1"/>
  <c r="R884" i="1"/>
  <c r="R885" i="1"/>
  <c r="R892" i="1"/>
  <c r="R893" i="1"/>
  <c r="R894" i="1"/>
  <c r="R895" i="1"/>
  <c r="R902" i="1"/>
  <c r="R903" i="1"/>
  <c r="R904" i="1"/>
  <c r="R905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U9" i="1" l="1"/>
  <c r="U8" i="1"/>
  <c r="U911" i="1"/>
  <c r="U910" i="1"/>
  <c r="U909" i="1"/>
  <c r="U908" i="1"/>
  <c r="U907" i="1"/>
  <c r="U906" i="1"/>
  <c r="U901" i="1"/>
  <c r="U900" i="1"/>
  <c r="U899" i="1"/>
  <c r="U898" i="1"/>
  <c r="U897" i="1"/>
  <c r="U896" i="1"/>
  <c r="U891" i="1"/>
  <c r="U890" i="1"/>
  <c r="U889" i="1"/>
  <c r="U888" i="1"/>
  <c r="U887" i="1"/>
  <c r="U886" i="1"/>
  <c r="U881" i="1"/>
  <c r="U880" i="1"/>
  <c r="U879" i="1"/>
  <c r="U831" i="1"/>
  <c r="U830" i="1"/>
  <c r="U829" i="1"/>
  <c r="U828" i="1"/>
  <c r="U811" i="1"/>
  <c r="U810" i="1"/>
  <c r="U809" i="1"/>
  <c r="U808" i="1"/>
  <c r="U741" i="1"/>
  <c r="U740" i="1"/>
  <c r="U739" i="1"/>
  <c r="U738" i="1"/>
  <c r="U737" i="1"/>
  <c r="U736" i="1"/>
  <c r="U731" i="1"/>
  <c r="U730" i="1"/>
  <c r="U729" i="1"/>
  <c r="U728" i="1"/>
  <c r="U727" i="1"/>
  <c r="U726" i="1"/>
  <c r="U711" i="1"/>
  <c r="U710" i="1"/>
  <c r="U709" i="1"/>
  <c r="U708" i="1"/>
  <c r="U707" i="1"/>
  <c r="U706" i="1"/>
  <c r="U691" i="1"/>
  <c r="U690" i="1"/>
  <c r="U689" i="1"/>
  <c r="U688" i="1"/>
  <c r="U687" i="1"/>
  <c r="U686" i="1"/>
  <c r="U685" i="1"/>
  <c r="U671" i="1"/>
  <c r="U670" i="1"/>
  <c r="U669" i="1"/>
  <c r="U668" i="1"/>
  <c r="U667" i="1"/>
  <c r="U641" i="1"/>
  <c r="U640" i="1"/>
  <c r="U639" i="1"/>
  <c r="U638" i="1"/>
  <c r="U631" i="1"/>
  <c r="U630" i="1"/>
  <c r="U629" i="1"/>
  <c r="U628" i="1"/>
  <c r="U627" i="1"/>
  <c r="U626" i="1"/>
  <c r="U625" i="1"/>
  <c r="U624" i="1"/>
  <c r="U621" i="1"/>
  <c r="U620" i="1"/>
  <c r="U619" i="1"/>
  <c r="U618" i="1"/>
  <c r="U617" i="1"/>
  <c r="U616" i="1"/>
  <c r="U615" i="1"/>
  <c r="U601" i="1"/>
  <c r="U600" i="1"/>
  <c r="U599" i="1"/>
  <c r="U598" i="1"/>
  <c r="U597" i="1"/>
  <c r="U596" i="1"/>
  <c r="U561" i="1"/>
  <c r="U560" i="1"/>
  <c r="U559" i="1"/>
  <c r="U558" i="1"/>
  <c r="U557" i="1"/>
  <c r="U556" i="1"/>
  <c r="U531" i="1"/>
  <c r="U530" i="1"/>
  <c r="U529" i="1"/>
  <c r="U528" i="1"/>
  <c r="U527" i="1"/>
  <c r="U526" i="1"/>
  <c r="U521" i="1"/>
  <c r="U520" i="1"/>
  <c r="U519" i="1"/>
  <c r="U518" i="1"/>
  <c r="U517" i="1"/>
  <c r="U516" i="1"/>
  <c r="U515" i="1"/>
  <c r="U471" i="1"/>
  <c r="U470" i="1"/>
  <c r="U469" i="1"/>
  <c r="U441" i="1"/>
  <c r="U440" i="1"/>
  <c r="U439" i="1"/>
  <c r="U431" i="1"/>
  <c r="U430" i="1"/>
  <c r="U429" i="1"/>
  <c r="U428" i="1"/>
  <c r="U427" i="1"/>
  <c r="U421" i="1"/>
  <c r="U420" i="1"/>
  <c r="U419" i="1"/>
  <c r="U418" i="1"/>
  <c r="U401" i="1"/>
  <c r="U400" i="1"/>
  <c r="U399" i="1"/>
  <c r="U398" i="1"/>
  <c r="U397" i="1"/>
  <c r="U396" i="1"/>
  <c r="U395" i="1"/>
  <c r="U351" i="1"/>
  <c r="U350" i="1"/>
  <c r="U349" i="1"/>
  <c r="U231" i="1"/>
  <c r="U230" i="1"/>
  <c r="U229" i="1"/>
  <c r="U228" i="1"/>
  <c r="U227" i="1"/>
  <c r="U191" i="1"/>
  <c r="U190" i="1"/>
  <c r="U189" i="1"/>
  <c r="U188" i="1"/>
  <c r="U121" i="1"/>
  <c r="U120" i="1"/>
  <c r="U119" i="1"/>
  <c r="U61" i="1"/>
  <c r="U60" i="1"/>
  <c r="U59" i="1"/>
  <c r="U11" i="1"/>
  <c r="U10" i="1"/>
  <c r="U7" i="1"/>
</calcChain>
</file>

<file path=xl/sharedStrings.xml><?xml version="1.0" encoding="utf-8"?>
<sst xmlns="http://schemas.openxmlformats.org/spreadsheetml/2006/main" count="7296" uniqueCount="2140">
  <si>
    <t>phase_id</t>
  </si>
  <si>
    <t>project_id</t>
  </si>
  <si>
    <t>phase_name</t>
  </si>
  <si>
    <t>planned_start</t>
  </si>
  <si>
    <t>planned_end</t>
  </si>
  <si>
    <t>actual_start</t>
  </si>
  <si>
    <t>actual_end</t>
  </si>
  <si>
    <t>status</t>
  </si>
  <si>
    <t>progress_pct</t>
  </si>
  <si>
    <t>budget_aed</t>
  </si>
  <si>
    <t>internal_notes</t>
  </si>
  <si>
    <t>created_at</t>
  </si>
  <si>
    <t>last_updated_at</t>
  </si>
  <si>
    <t>created_by</t>
  </si>
  <si>
    <t>record_version</t>
  </si>
  <si>
    <t>is_active</t>
  </si>
  <si>
    <t>tags</t>
  </si>
  <si>
    <t>PH-PRJ-001-01</t>
  </si>
  <si>
    <t>PRJ-001</t>
  </si>
  <si>
    <t>Enabling Works</t>
  </si>
  <si>
    <t>Completed</t>
  </si>
  <si>
    <t>2023-12-14T15:19:00</t>
  </si>
  <si>
    <t>system@alrashdeng.ae</t>
  </si>
  <si>
    <t>PH-PRJ-001-02</t>
  </si>
  <si>
    <t>Excavation &amp; Shoring</t>
  </si>
  <si>
    <t>2024-02-10T17:14:00</t>
  </si>
  <si>
    <t>PH-PRJ-001-03</t>
  </si>
  <si>
    <t>Piling</t>
  </si>
  <si>
    <t>2024-06-06T10:21:00</t>
  </si>
  <si>
    <t>Critical Phase</t>
  </si>
  <si>
    <t>PH-PRJ-001-04</t>
  </si>
  <si>
    <t>Substructure</t>
  </si>
  <si>
    <t>2024-10-24T13:30:00</t>
  </si>
  <si>
    <t>PH-PRJ-001-05</t>
  </si>
  <si>
    <t>Superstructure</t>
  </si>
  <si>
    <t>2025-04-17T07:32:00</t>
  </si>
  <si>
    <t>PH-PRJ-001-06</t>
  </si>
  <si>
    <t>MEP Rough-In</t>
  </si>
  <si>
    <t>In Progress</t>
  </si>
  <si>
    <t>2026-02-03T17:03:00</t>
  </si>
  <si>
    <t>PH-PRJ-001-07</t>
  </si>
  <si>
    <t>Facade</t>
  </si>
  <si>
    <t>Not Started</t>
  </si>
  <si>
    <t>2026-05-31T11:07:00</t>
  </si>
  <si>
    <t>PH-PRJ-001-08</t>
  </si>
  <si>
    <t>Finishes</t>
  </si>
  <si>
    <t>2026-09-01T11:23:00</t>
  </si>
  <si>
    <t>PH-PRJ-001-09</t>
  </si>
  <si>
    <t>Testing &amp; Commissioning</t>
  </si>
  <si>
    <t>2026-12-27T11:22:00</t>
  </si>
  <si>
    <t>PH-PRJ-001-10</t>
  </si>
  <si>
    <t>Handover</t>
  </si>
  <si>
    <t>2027-01-31T13:15:00</t>
  </si>
  <si>
    <t>PH-PRJ-002-01</t>
  </si>
  <si>
    <t>PRJ-002</t>
  </si>
  <si>
    <t>2021-06-08T12:57:00</t>
  </si>
  <si>
    <t>PH-PRJ-002-02</t>
  </si>
  <si>
    <t>2021-07-18T07:11:00</t>
  </si>
  <si>
    <t>PH-PRJ-002-03</t>
  </si>
  <si>
    <t>2021-10-07T07:00:00</t>
  </si>
  <si>
    <t>PH-PRJ-002-04</t>
  </si>
  <si>
    <t>2022-01-12T07:42:00</t>
  </si>
  <si>
    <t>PH-PRJ-002-05</t>
  </si>
  <si>
    <t>2022-05-13T12:13:00</t>
  </si>
  <si>
    <t>PH-PRJ-002-06</t>
  </si>
  <si>
    <t>2022-12-01T11:30:00</t>
  </si>
  <si>
    <t>PH-PRJ-002-07</t>
  </si>
  <si>
    <t>2023-02-20T11:58:00</t>
  </si>
  <si>
    <t>PH-PRJ-002-08</t>
  </si>
  <si>
    <t>2023-04-25T16:06:00</t>
  </si>
  <si>
    <t>PH-PRJ-002-09</t>
  </si>
  <si>
    <t>2023-07-15T13:11:00</t>
  </si>
  <si>
    <t>PH-PRJ-002-10</t>
  </si>
  <si>
    <t>2023-08-08T11:31:00</t>
  </si>
  <si>
    <t>PH-PRJ-003-01</t>
  </si>
  <si>
    <t>PRJ-003</t>
  </si>
  <si>
    <t>2021-07-10T12:21:00</t>
  </si>
  <si>
    <t>PH-PRJ-003-02</t>
  </si>
  <si>
    <t>2021-09-09T11:07:00</t>
  </si>
  <si>
    <t>PH-PRJ-003-03</t>
  </si>
  <si>
    <t>2022-01-10T08:42:00</t>
  </si>
  <si>
    <t>PH-PRJ-003-04</t>
  </si>
  <si>
    <t>2022-06-06T07:43:00</t>
  </si>
  <si>
    <t>PH-PRJ-003-05</t>
  </si>
  <si>
    <t>2022-12-07T15:49:00</t>
  </si>
  <si>
    <t>PH-PRJ-003-06</t>
  </si>
  <si>
    <t>2023-10-10T09:21:00</t>
  </si>
  <si>
    <t>PH-PRJ-003-07</t>
  </si>
  <si>
    <t>2024-02-10T12:47:00</t>
  </si>
  <si>
    <t>PH-PRJ-003-08</t>
  </si>
  <si>
    <t>2024-05-18T12:47:00</t>
  </si>
  <si>
    <t>PH-PRJ-003-09</t>
  </si>
  <si>
    <t>2024-09-18T16:33:00</t>
  </si>
  <si>
    <t>PH-PRJ-003-10</t>
  </si>
  <si>
    <t>2024-10-24T16:23:00</t>
  </si>
  <si>
    <t>PH-PRJ-004-01</t>
  </si>
  <si>
    <t>PRJ-004</t>
  </si>
  <si>
    <t>2021-04-14T10:41:00</t>
  </si>
  <si>
    <t>PH-PRJ-004-02</t>
  </si>
  <si>
    <t>2021-05-14T11:13:00</t>
  </si>
  <si>
    <t>PH-PRJ-004-03</t>
  </si>
  <si>
    <t>2021-07-13T16:24:00</t>
  </si>
  <si>
    <t>PH-PRJ-004-04</t>
  </si>
  <si>
    <t>2021-09-23T08:56:00</t>
  </si>
  <si>
    <t>PH-PRJ-004-05</t>
  </si>
  <si>
    <t>2021-12-22T08:08:00</t>
  </si>
  <si>
    <t>PH-PRJ-004-06</t>
  </si>
  <si>
    <t>2022-05-21T17:47:00</t>
  </si>
  <si>
    <t>PH-PRJ-004-07</t>
  </si>
  <si>
    <t>2022-07-20T16:07:00</t>
  </si>
  <si>
    <t>PH-PRJ-004-08</t>
  </si>
  <si>
    <t>2022-09-06T07:37:00</t>
  </si>
  <si>
    <t>PH-PRJ-004-09</t>
  </si>
  <si>
    <t>2022-11-05T17:52:00</t>
  </si>
  <si>
    <t>PH-PRJ-004-10</t>
  </si>
  <si>
    <t>2022-11-23T10:12:00</t>
  </si>
  <si>
    <t>PH-PRJ-005-01</t>
  </si>
  <si>
    <t>PRJ-005</t>
  </si>
  <si>
    <t>2020-04-08T14:59:00</t>
  </si>
  <si>
    <t>PH-PRJ-005-02</t>
  </si>
  <si>
    <t>2020-04-30T08:04:00</t>
  </si>
  <si>
    <t>PH-PRJ-005-03</t>
  </si>
  <si>
    <t>2020-06-14T15:39:00</t>
  </si>
  <si>
    <t>PH-PRJ-005-04</t>
  </si>
  <si>
    <t>2020-08-07T12:19:00</t>
  </si>
  <si>
    <t>PH-PRJ-005-05</t>
  </si>
  <si>
    <t>2020-10-13T14:48:00</t>
  </si>
  <si>
    <t>PH-PRJ-005-06</t>
  </si>
  <si>
    <t>2021-02-02T10:34:00</t>
  </si>
  <si>
    <t>PH-PRJ-005-07</t>
  </si>
  <si>
    <t>2021-03-19T09:02:00</t>
  </si>
  <si>
    <t>PH-PRJ-005-08</t>
  </si>
  <si>
    <t>2021-04-24T09:12:00</t>
  </si>
  <si>
    <t>PH-PRJ-005-09</t>
  </si>
  <si>
    <t>2021-06-08T13:35:00</t>
  </si>
  <si>
    <t>PH-PRJ-005-10</t>
  </si>
  <si>
    <t>2021-06-21T11:57:00</t>
  </si>
  <si>
    <t>PH-PRJ-006-01</t>
  </si>
  <si>
    <t>PRJ-006</t>
  </si>
  <si>
    <t>2023-02-04T15:22:00</t>
  </si>
  <si>
    <t>PH-PRJ-006-02</t>
  </si>
  <si>
    <t>2023-04-08T12:28:00</t>
  </si>
  <si>
    <t>PH-PRJ-006-03</t>
  </si>
  <si>
    <t>2023-08-12T17:45:00</t>
  </si>
  <si>
    <t>PH-PRJ-006-04</t>
  </si>
  <si>
    <t>2024-01-10T08:58:00</t>
  </si>
  <si>
    <t>PH-PRJ-006-05</t>
  </si>
  <si>
    <t>2024-07-17T13:04:00</t>
  </si>
  <si>
    <t>PH-PRJ-006-06</t>
  </si>
  <si>
    <t>2025-05-28T14:26:00</t>
  </si>
  <si>
    <t>PH-PRJ-006-07</t>
  </si>
  <si>
    <t>2025-10-01T15:59:00</t>
  </si>
  <si>
    <t>PH-PRJ-006-08</t>
  </si>
  <si>
    <t>2026-01-09T07:10:00</t>
  </si>
  <si>
    <t>PH-PRJ-006-09</t>
  </si>
  <si>
    <t>2026-05-15T16:17:00</t>
  </si>
  <si>
    <t>PH-PRJ-006-10</t>
  </si>
  <si>
    <t>2026-06-21T09:18:00</t>
  </si>
  <si>
    <t>PH-PRJ-007-01</t>
  </si>
  <si>
    <t>PRJ-007</t>
  </si>
  <si>
    <t>2024-07-19T07:36:00</t>
  </si>
  <si>
    <t>PH-PRJ-007-02</t>
  </si>
  <si>
    <t>2024-08-15T07:50:00</t>
  </si>
  <si>
    <t>PH-PRJ-007-03</t>
  </si>
  <si>
    <t>2024-10-08T10:47:00</t>
  </si>
  <si>
    <t>PH-PRJ-007-04</t>
  </si>
  <si>
    <t>2024-12-11T13:31:00</t>
  </si>
  <si>
    <t>PH-PRJ-007-05</t>
  </si>
  <si>
    <t>2025-03-02T17:34:00</t>
  </si>
  <si>
    <t>PH-PRJ-007-06</t>
  </si>
  <si>
    <t>2025-07-15T15:04:00</t>
  </si>
  <si>
    <t>PH-PRJ-007-07</t>
  </si>
  <si>
    <t>2025-09-07T09:28:00</t>
  </si>
  <si>
    <t>PH-PRJ-007-08</t>
  </si>
  <si>
    <t>2025-10-20T15:24:00</t>
  </si>
  <si>
    <t>PH-PRJ-007-09</t>
  </si>
  <si>
    <t>2025-12-13T15:49:00</t>
  </si>
  <si>
    <t>PH-PRJ-007-10</t>
  </si>
  <si>
    <t>2025-12-29T13:25:00</t>
  </si>
  <si>
    <t>PH-PRJ-008-01</t>
  </si>
  <si>
    <t>PRJ-008</t>
  </si>
  <si>
    <t>2020-10-30T16:17:00</t>
  </si>
  <si>
    <t>PH-PRJ-008-02</t>
  </si>
  <si>
    <t>2020-12-26T10:11:00</t>
  </si>
  <si>
    <t>PH-PRJ-008-03</t>
  </si>
  <si>
    <t>2021-04-19T07:10:00</t>
  </si>
  <si>
    <t>PH-PRJ-008-04</t>
  </si>
  <si>
    <t>2021-09-02T16:13:00</t>
  </si>
  <si>
    <t>PH-PRJ-008-05</t>
  </si>
  <si>
    <t>2022-02-20T16:44:00</t>
  </si>
  <si>
    <t>PH-PRJ-008-06</t>
  </si>
  <si>
    <t>2022-12-02T07:56:00</t>
  </si>
  <si>
    <t>PH-PRJ-008-07</t>
  </si>
  <si>
    <t>2023-03-26T15:29:00</t>
  </si>
  <si>
    <t>PH-PRJ-008-08</t>
  </si>
  <si>
    <t>2023-06-25T15:45:00</t>
  </si>
  <si>
    <t>PH-PRJ-008-09</t>
  </si>
  <si>
    <t>2023-10-17T15:16:00</t>
  </si>
  <si>
    <t>PH-PRJ-008-10</t>
  </si>
  <si>
    <t>2023-11-20T11:54:00</t>
  </si>
  <si>
    <t>PH-PRJ-009-01</t>
  </si>
  <si>
    <t>PRJ-009</t>
  </si>
  <si>
    <t>2021-12-14T10:18:00</t>
  </si>
  <si>
    <t>PH-PRJ-009-02</t>
  </si>
  <si>
    <t>2022-01-14T11:35:00</t>
  </si>
  <si>
    <t>PH-PRJ-009-03</t>
  </si>
  <si>
    <t>2022-03-18T08:10:00</t>
  </si>
  <si>
    <t>PH-PRJ-009-04</t>
  </si>
  <si>
    <t>2022-06-01T10:02:00</t>
  </si>
  <si>
    <t>PH-PRJ-009-05</t>
  </si>
  <si>
    <t>2022-09-03T15:15:00</t>
  </si>
  <si>
    <t>PH-PRJ-009-06</t>
  </si>
  <si>
    <t>2023-02-07T11:02:00</t>
  </si>
  <si>
    <t>PH-PRJ-009-07</t>
  </si>
  <si>
    <t>2023-04-11T17:09:00</t>
  </si>
  <si>
    <t>PH-PRJ-009-08</t>
  </si>
  <si>
    <t>2023-05-31T11:59:00</t>
  </si>
  <si>
    <t>PH-PRJ-009-09</t>
  </si>
  <si>
    <t>2023-08-02T09:17:00</t>
  </si>
  <si>
    <t>PH-PRJ-009-10</t>
  </si>
  <si>
    <t>2023-08-20T07:41:00</t>
  </si>
  <si>
    <t>PH-PRJ-010-01</t>
  </si>
  <si>
    <t>PRJ-010</t>
  </si>
  <si>
    <t>2022-04-25T10:52:00</t>
  </si>
  <si>
    <t>PH-PRJ-010-02</t>
  </si>
  <si>
    <t>2022-05-29T10:34:00</t>
  </si>
  <si>
    <t>PH-PRJ-010-03</t>
  </si>
  <si>
    <t>2022-08-06T08:00:00</t>
  </si>
  <si>
    <t>PH-PRJ-010-04</t>
  </si>
  <si>
    <t>2022-10-27T17:22:00</t>
  </si>
  <si>
    <t>PH-PRJ-010-05</t>
  </si>
  <si>
    <t>2023-02-07T17:38:00</t>
  </si>
  <si>
    <t>PH-PRJ-010-06</t>
  </si>
  <si>
    <t>2023-07-29T12:20:00</t>
  </si>
  <si>
    <t>PH-PRJ-010-07</t>
  </si>
  <si>
    <t>2023-10-06T08:45:00</t>
  </si>
  <si>
    <t>PH-PRJ-010-08</t>
  </si>
  <si>
    <t>2023-11-30T15:16:00</t>
  </si>
  <si>
    <t>PH-PRJ-010-09</t>
  </si>
  <si>
    <t>2024-02-07T09:26:00</t>
  </si>
  <si>
    <t>PH-PRJ-010-10</t>
  </si>
  <si>
    <t>2024-02-27T16:18:00</t>
  </si>
  <si>
    <t>PH-PRJ-011-01</t>
  </si>
  <si>
    <t>PRJ-011</t>
  </si>
  <si>
    <t>2021-08-05T12:03:00</t>
  </si>
  <si>
    <t>PH-PRJ-011-02</t>
  </si>
  <si>
    <t>2021-09-07T17:52:00</t>
  </si>
  <si>
    <t>PH-PRJ-011-03</t>
  </si>
  <si>
    <t>2021-11-12T07:52:00</t>
  </si>
  <si>
    <t>PH-PRJ-011-04</t>
  </si>
  <si>
    <t>2022-01-30T12:14:00</t>
  </si>
  <si>
    <t>PH-PRJ-011-05</t>
  </si>
  <si>
    <t>2022-05-09T11:11:00</t>
  </si>
  <si>
    <t>PH-PRJ-011-06</t>
  </si>
  <si>
    <t>2022-10-21T11:01:00</t>
  </si>
  <si>
    <t>PH-PRJ-011-07</t>
  </si>
  <si>
    <t>2022-12-26T15:42:00</t>
  </si>
  <si>
    <t>PH-PRJ-011-08</t>
  </si>
  <si>
    <t>2023-02-16T16:06:00</t>
  </si>
  <si>
    <t>PH-PRJ-011-09</t>
  </si>
  <si>
    <t>2023-04-23T13:41:00</t>
  </si>
  <si>
    <t>PH-PRJ-011-10</t>
  </si>
  <si>
    <t>2023-05-12T11:55:00</t>
  </si>
  <si>
    <t>PH-PRJ-012-01</t>
  </si>
  <si>
    <t>PRJ-012</t>
  </si>
  <si>
    <t>2023-08-02T17:40:00</t>
  </si>
  <si>
    <t>PH-PRJ-012-02</t>
  </si>
  <si>
    <t>2023-09-25T16:35:00</t>
  </si>
  <si>
    <t>PH-PRJ-012-03</t>
  </si>
  <si>
    <t>2024-01-11T10:52:00</t>
  </si>
  <si>
    <t>PH-PRJ-012-04</t>
  </si>
  <si>
    <t>2024-05-19T14:14:00</t>
  </si>
  <si>
    <t>PH-PRJ-012-05</t>
  </si>
  <si>
    <t>2024-10-28T12:17:00</t>
  </si>
  <si>
    <t>PH-PRJ-012-06</t>
  </si>
  <si>
    <t>2025-07-25T10:37:00</t>
  </si>
  <si>
    <t>PH-PRJ-012-07</t>
  </si>
  <si>
    <t>2025-11-10T17:51:00</t>
  </si>
  <si>
    <t>PH-PRJ-012-08</t>
  </si>
  <si>
    <t>2026-02-04T09:28:00</t>
  </si>
  <si>
    <t>PH-PRJ-012-09</t>
  </si>
  <si>
    <t>2026-05-23T10:46:00</t>
  </si>
  <si>
    <t>PH-PRJ-012-10</t>
  </si>
  <si>
    <t>2026-06-24T13:23:00</t>
  </si>
  <si>
    <t>PH-PRJ-013-01</t>
  </si>
  <si>
    <t>PRJ-013</t>
  </si>
  <si>
    <t>2023-04-02T09:57:00</t>
  </si>
  <si>
    <t>PH-PRJ-013-02</t>
  </si>
  <si>
    <t>2023-05-06T14:05:00</t>
  </si>
  <si>
    <t>PH-PRJ-013-03</t>
  </si>
  <si>
    <t>2023-07-14T14:11:00</t>
  </si>
  <si>
    <t>PH-PRJ-013-04</t>
  </si>
  <si>
    <t>2023-10-04T14:11:00</t>
  </si>
  <si>
    <t>PH-PRJ-013-05</t>
  </si>
  <si>
    <t>2024-01-15T09:12:00</t>
  </si>
  <si>
    <t>PH-PRJ-013-06</t>
  </si>
  <si>
    <t>2024-07-05T16:31:00</t>
  </si>
  <si>
    <t>PH-PRJ-013-07</t>
  </si>
  <si>
    <t>2024-09-12T09:41:00</t>
  </si>
  <si>
    <t>PH-PRJ-013-08</t>
  </si>
  <si>
    <t>2024-11-06T11:01:00</t>
  </si>
  <si>
    <t>PH-PRJ-013-09</t>
  </si>
  <si>
    <t>2025-01-14T11:10:00</t>
  </si>
  <si>
    <t>PH-PRJ-013-10</t>
  </si>
  <si>
    <t>2025-02-03T09:52:00</t>
  </si>
  <si>
    <t>PH-PRJ-014-01</t>
  </si>
  <si>
    <t>PRJ-014</t>
  </si>
  <si>
    <t>2021-01-29T13:43:00</t>
  </si>
  <si>
    <t>PH-PRJ-014-02</t>
  </si>
  <si>
    <t>2021-03-18T16:12:00</t>
  </si>
  <si>
    <t>PH-PRJ-014-03</t>
  </si>
  <si>
    <t>2021-06-22T08:09:00</t>
  </si>
  <si>
    <t>PH-PRJ-014-04</t>
  </si>
  <si>
    <t>2021-10-15T08:27:00</t>
  </si>
  <si>
    <t>PH-PRJ-014-05</t>
  </si>
  <si>
    <t>2022-03-08T10:29:00</t>
  </si>
  <si>
    <t>PH-PRJ-014-06</t>
  </si>
  <si>
    <t>2022-11-03T17:25:00</t>
  </si>
  <si>
    <t>PH-PRJ-014-07</t>
  </si>
  <si>
    <t>2023-02-07T08:46:00</t>
  </si>
  <si>
    <t>PH-PRJ-014-08</t>
  </si>
  <si>
    <t>2023-04-24T15:08:00</t>
  </si>
  <si>
    <t>PH-PRJ-014-09</t>
  </si>
  <si>
    <t>2023-07-29T07:38:00</t>
  </si>
  <si>
    <t>PH-PRJ-014-10</t>
  </si>
  <si>
    <t>2023-08-26T08:24:00</t>
  </si>
  <si>
    <t>PH-PRJ-015-01</t>
  </si>
  <si>
    <t>PRJ-015</t>
  </si>
  <si>
    <t>2020-02-20T13:01:00</t>
  </si>
  <si>
    <t>PH-PRJ-015-02</t>
  </si>
  <si>
    <t>2020-04-18T08:52:00</t>
  </si>
  <si>
    <t>PH-PRJ-015-03</t>
  </si>
  <si>
    <t>2020-08-13T07:48:00</t>
  </si>
  <si>
    <t>PH-PRJ-015-04</t>
  </si>
  <si>
    <t>2020-12-31T17:59:00</t>
  </si>
  <si>
    <t>PH-PRJ-015-05</t>
  </si>
  <si>
    <t>2021-06-24T07:08:00</t>
  </si>
  <si>
    <t>PH-PRJ-015-06</t>
  </si>
  <si>
    <t>2022-04-12T10:49:00</t>
  </si>
  <si>
    <t>PH-PRJ-015-07</t>
  </si>
  <si>
    <t>2022-08-07T08:17:00</t>
  </si>
  <si>
    <t>PH-PRJ-015-08</t>
  </si>
  <si>
    <t>2022-11-08T09:40:00</t>
  </si>
  <si>
    <t>PH-PRJ-015-09</t>
  </si>
  <si>
    <t>2023-03-05T16:00:00</t>
  </si>
  <si>
    <t>PH-PRJ-015-10</t>
  </si>
  <si>
    <t>2023-04-09T07:50:00</t>
  </si>
  <si>
    <t>PH-PRJ-016-01</t>
  </si>
  <si>
    <t>PRJ-016</t>
  </si>
  <si>
    <t>2020-12-03T08:34:00</t>
  </si>
  <si>
    <t>PH-PRJ-016-02</t>
  </si>
  <si>
    <t>2021-02-04T12:54:00</t>
  </si>
  <si>
    <t>PH-PRJ-016-03</t>
  </si>
  <si>
    <t>2021-06-10T08:12:00</t>
  </si>
  <si>
    <t>PH-PRJ-016-04</t>
  </si>
  <si>
    <t>2021-11-08T09:30:00</t>
  </si>
  <si>
    <t>PH-PRJ-016-05</t>
  </si>
  <si>
    <t>2022-05-16T16:57:00</t>
  </si>
  <si>
    <t>PH-PRJ-016-06</t>
  </si>
  <si>
    <t>2023-03-27T14:52:00</t>
  </si>
  <si>
    <t>PH-PRJ-016-07</t>
  </si>
  <si>
    <t>2023-07-31T09:19:00</t>
  </si>
  <si>
    <t>PH-PRJ-016-08</t>
  </si>
  <si>
    <t>2023-11-08T12:30:00</t>
  </si>
  <si>
    <t>PH-PRJ-016-09</t>
  </si>
  <si>
    <t>2024-03-13T09:15:00</t>
  </si>
  <si>
    <t>PH-PRJ-016-10</t>
  </si>
  <si>
    <t>2024-04-19T07:34:00</t>
  </si>
  <si>
    <t>PH-PRJ-017-01</t>
  </si>
  <si>
    <t>PRJ-017</t>
  </si>
  <si>
    <t>2021-07-31T11:40:00</t>
  </si>
  <si>
    <t>PH-PRJ-017-02</t>
  </si>
  <si>
    <t>2021-09-23T15:07:00</t>
  </si>
  <si>
    <t>PH-PRJ-017-03</t>
  </si>
  <si>
    <t>2022-01-09T07:52:00</t>
  </si>
  <si>
    <t>PH-PRJ-017-04</t>
  </si>
  <si>
    <t>2022-05-18T07:06:00</t>
  </si>
  <si>
    <t>PH-PRJ-017-05</t>
  </si>
  <si>
    <t>2022-10-27T15:18:00</t>
  </si>
  <si>
    <t>PH-PRJ-017-06</t>
  </si>
  <si>
    <t>2023-07-24T08:32:00</t>
  </si>
  <si>
    <t>PH-PRJ-017-07</t>
  </si>
  <si>
    <t>2023-11-09T13:09:00</t>
  </si>
  <si>
    <t>PH-PRJ-017-08</t>
  </si>
  <si>
    <t>2024-02-03T07:58:00</t>
  </si>
  <si>
    <t>PH-PRJ-017-09</t>
  </si>
  <si>
    <t>2024-05-21T10:01:00</t>
  </si>
  <si>
    <t>PH-PRJ-017-10</t>
  </si>
  <si>
    <t>2024-06-22T10:27:00</t>
  </si>
  <si>
    <t>PH-PRJ-018-01</t>
  </si>
  <si>
    <t>PRJ-018</t>
  </si>
  <si>
    <t>2020-06-11T13:09:00</t>
  </si>
  <si>
    <t>PH-PRJ-018-02</t>
  </si>
  <si>
    <t>2020-06-30T12:41:00</t>
  </si>
  <si>
    <t>PH-PRJ-018-03</t>
  </si>
  <si>
    <t>2020-08-08T11:14:00</t>
  </si>
  <si>
    <t>PH-PRJ-018-04</t>
  </si>
  <si>
    <t>2020-09-23T17:24:00</t>
  </si>
  <si>
    <t>PH-PRJ-018-05</t>
  </si>
  <si>
    <t>2020-11-20T17:56:00</t>
  </si>
  <si>
    <t>PH-PRJ-018-06</t>
  </si>
  <si>
    <t>2021-02-25T08:31:00</t>
  </si>
  <si>
    <t>PH-PRJ-018-07</t>
  </si>
  <si>
    <t>2021-04-05T09:07:00</t>
  </si>
  <si>
    <t>PH-PRJ-018-08</t>
  </si>
  <si>
    <t>2021-05-06T10:06:00</t>
  </si>
  <si>
    <t>PH-PRJ-018-09</t>
  </si>
  <si>
    <t>2021-06-14T11:22:00</t>
  </si>
  <si>
    <t>PH-PRJ-018-10</t>
  </si>
  <si>
    <t>2021-06-25T08:39:00</t>
  </si>
  <si>
    <t>PH-PRJ-019-01</t>
  </si>
  <si>
    <t>PRJ-019</t>
  </si>
  <si>
    <t>2024-07-26T12:07:00</t>
  </si>
  <si>
    <t>PH-PRJ-019-02</t>
  </si>
  <si>
    <t>2024-09-01T12:59:00</t>
  </si>
  <si>
    <t>PH-PRJ-019-03</t>
  </si>
  <si>
    <t>2024-11-15T08:57:00</t>
  </si>
  <si>
    <t>PH-PRJ-019-04</t>
  </si>
  <si>
    <t>2025-02-13T07:38:00</t>
  </si>
  <si>
    <t>PH-PRJ-019-05</t>
  </si>
  <si>
    <t>2025-06-05T09:11:00</t>
  </si>
  <si>
    <t>PH-PRJ-019-06</t>
  </si>
  <si>
    <t>2025-12-09T13:33:00</t>
  </si>
  <si>
    <t>PH-PRJ-019-07</t>
  </si>
  <si>
    <t>2026-02-22T16:11:00</t>
  </si>
  <si>
    <t>PH-PRJ-019-08</t>
  </si>
  <si>
    <t>2026-04-23T17:27:00</t>
  </si>
  <si>
    <t>PH-PRJ-019-09</t>
  </si>
  <si>
    <t>2026-07-07T09:57:00</t>
  </si>
  <si>
    <t>PH-PRJ-019-10</t>
  </si>
  <si>
    <t>2026-07-29T17:43:00</t>
  </si>
  <si>
    <t>PH-PRJ-020-01</t>
  </si>
  <si>
    <t>PRJ-020</t>
  </si>
  <si>
    <t>2021-09-01T11:39:00</t>
  </si>
  <si>
    <t>PH-PRJ-020-02</t>
  </si>
  <si>
    <t>2021-09-28T11:22:00</t>
  </si>
  <si>
    <t>PH-PRJ-020-03</t>
  </si>
  <si>
    <t>2021-11-21T08:17:00</t>
  </si>
  <si>
    <t>PH-PRJ-020-04</t>
  </si>
  <si>
    <t>2022-01-24T14:42:00</t>
  </si>
  <si>
    <t>PH-PRJ-020-05</t>
  </si>
  <si>
    <t>2022-04-15T12:59:00</t>
  </si>
  <si>
    <t>PH-PRJ-020-06</t>
  </si>
  <si>
    <t>2022-08-28T11:51:00</t>
  </si>
  <si>
    <t>PH-PRJ-020-07</t>
  </si>
  <si>
    <t>2022-10-21T08:50:00</t>
  </si>
  <si>
    <t>PH-PRJ-020-08</t>
  </si>
  <si>
    <t>2022-12-03T07:55:00</t>
  </si>
  <si>
    <t>PH-PRJ-020-09</t>
  </si>
  <si>
    <t>2023-01-26T09:49:00</t>
  </si>
  <si>
    <t>PH-PRJ-020-10</t>
  </si>
  <si>
    <t>2023-02-11T17:09:00</t>
  </si>
  <si>
    <t>PH-PRJ-021-01</t>
  </si>
  <si>
    <t>PRJ-021</t>
  </si>
  <si>
    <t>2022-02-25T12:09:00</t>
  </si>
  <si>
    <t>PH-PRJ-021-02</t>
  </si>
  <si>
    <t>2022-04-23T13:28:00</t>
  </si>
  <si>
    <t>PH-PRJ-021-03</t>
  </si>
  <si>
    <t>2022-08-15T14:52:00</t>
  </si>
  <si>
    <t>PH-PRJ-021-04</t>
  </si>
  <si>
    <t>2022-12-29T08:07:00</t>
  </si>
  <si>
    <t>PH-PRJ-021-05</t>
  </si>
  <si>
    <t>2023-06-18T16:27:00</t>
  </si>
  <si>
    <t>PH-PRJ-021-06</t>
  </si>
  <si>
    <t>2024-03-29T11:09:00</t>
  </si>
  <si>
    <t>PH-PRJ-021-07</t>
  </si>
  <si>
    <t>2024-07-21T08:20:00</t>
  </si>
  <si>
    <t>PH-PRJ-021-08</t>
  </si>
  <si>
    <t>2024-10-20T09:11:00</t>
  </si>
  <si>
    <t>PH-PRJ-021-09</t>
  </si>
  <si>
    <t>2025-02-11T13:22:00</t>
  </si>
  <si>
    <t>PH-PRJ-021-10</t>
  </si>
  <si>
    <t>2025-03-17T12:31:00</t>
  </si>
  <si>
    <t>PH-PRJ-022-01</t>
  </si>
  <si>
    <t>PRJ-022</t>
  </si>
  <si>
    <t>2022-08-25T13:30:00</t>
  </si>
  <si>
    <t>PH-PRJ-022-02</t>
  </si>
  <si>
    <t>2022-09-22T13:38:00</t>
  </si>
  <si>
    <t>PH-PRJ-022-03</t>
  </si>
  <si>
    <t>2022-11-18T17:21:00</t>
  </si>
  <si>
    <t>PH-PRJ-022-04</t>
  </si>
  <si>
    <t>2023-01-25T09:51:00</t>
  </si>
  <si>
    <t>PH-PRJ-022-05</t>
  </si>
  <si>
    <t>2023-04-20T17:58:00</t>
  </si>
  <si>
    <t>PH-PRJ-022-06</t>
  </si>
  <si>
    <t>2023-09-09T10:24:00</t>
  </si>
  <si>
    <t>PH-PRJ-022-07</t>
  </si>
  <si>
    <t>2023-11-05T13:35:00</t>
  </si>
  <si>
    <t>PH-PRJ-022-08</t>
  </si>
  <si>
    <t>2023-12-20T14:34:00</t>
  </si>
  <si>
    <t>PH-PRJ-022-09</t>
  </si>
  <si>
    <t>2024-02-15T15:31:00</t>
  </si>
  <si>
    <t>PH-PRJ-022-10</t>
  </si>
  <si>
    <t>2024-03-03T15:34:00</t>
  </si>
  <si>
    <t>PH-PRJ-023-01</t>
  </si>
  <si>
    <t>PRJ-023</t>
  </si>
  <si>
    <t>2023-07-31T10:24:00</t>
  </si>
  <si>
    <t>PH-PRJ-023-02</t>
  </si>
  <si>
    <t>2023-10-05T08:37:00</t>
  </si>
  <si>
    <t>PH-PRJ-023-03</t>
  </si>
  <si>
    <t>2024-02-14T13:33:00</t>
  </si>
  <si>
    <t>PH-PRJ-023-04</t>
  </si>
  <si>
    <t>2024-07-21T16:49:00</t>
  </si>
  <si>
    <t>PH-PRJ-023-05</t>
  </si>
  <si>
    <t>2025-02-04T10:44:00</t>
  </si>
  <si>
    <t>PH-PRJ-023-06</t>
  </si>
  <si>
    <t>2025-12-31T10:23:00</t>
  </si>
  <si>
    <t>PH-PRJ-023-07</t>
  </si>
  <si>
    <t>2026-05-12T07:13:00</t>
  </si>
  <si>
    <t>PH-PRJ-023-08</t>
  </si>
  <si>
    <t>2026-08-25T07:23:00</t>
  </si>
  <si>
    <t>PH-PRJ-023-09</t>
  </si>
  <si>
    <t>2027-01-04T15:30:00</t>
  </si>
  <si>
    <t>PH-PRJ-023-10</t>
  </si>
  <si>
    <t>2027-02-12T09:58:00</t>
  </si>
  <si>
    <t>PH-PRJ-024-01</t>
  </si>
  <si>
    <t>PRJ-024</t>
  </si>
  <si>
    <t>2020-06-29T08:03:00</t>
  </si>
  <si>
    <t>PH-PRJ-024-02</t>
  </si>
  <si>
    <t>2020-08-28T12:23:00</t>
  </si>
  <si>
    <t>PH-PRJ-024-03</t>
  </si>
  <si>
    <t>2020-12-26T09:18:00</t>
  </si>
  <si>
    <t>PH-PRJ-024-04</t>
  </si>
  <si>
    <t>2021-05-19T14:09:00</t>
  </si>
  <si>
    <t>PH-PRJ-024-05</t>
  </si>
  <si>
    <t>2021-11-15T15:59:00</t>
  </si>
  <si>
    <t>PH-PRJ-024-06</t>
  </si>
  <si>
    <t>2022-09-11T13:15:00</t>
  </si>
  <si>
    <t>PH-PRJ-024-07</t>
  </si>
  <si>
    <t>2023-01-09T10:52:00</t>
  </si>
  <si>
    <t>PH-PRJ-024-08</t>
  </si>
  <si>
    <t>2023-04-15T10:03:00</t>
  </si>
  <si>
    <t>PH-PRJ-024-09</t>
  </si>
  <si>
    <t>2023-08-13T09:07:00</t>
  </si>
  <si>
    <t>PH-PRJ-024-10</t>
  </si>
  <si>
    <t>2023-09-18T09:24:00</t>
  </si>
  <si>
    <t>PH-PRJ-025-01</t>
  </si>
  <si>
    <t>PRJ-025</t>
  </si>
  <si>
    <t>2022-12-12T07:44:00</t>
  </si>
  <si>
    <t>PH-PRJ-025-02</t>
  </si>
  <si>
    <t>2023-01-26T13:23:00</t>
  </si>
  <si>
    <t>PH-PRJ-025-03</t>
  </si>
  <si>
    <t>2023-04-26T07:44:00</t>
  </si>
  <si>
    <t>PH-PRJ-025-04</t>
  </si>
  <si>
    <t>2023-08-12T08:42:00</t>
  </si>
  <si>
    <t>PH-PRJ-025-05</t>
  </si>
  <si>
    <t>2023-12-25T16:04:00</t>
  </si>
  <si>
    <t>PH-PRJ-025-06</t>
  </si>
  <si>
    <t>2024-08-06T14:53:00</t>
  </si>
  <si>
    <t>PH-PRJ-025-07</t>
  </si>
  <si>
    <t>2024-11-04T16:55:00</t>
  </si>
  <si>
    <t>PH-PRJ-025-08</t>
  </si>
  <si>
    <t>2025-01-15T09:01:00</t>
  </si>
  <si>
    <t>PH-PRJ-025-09</t>
  </si>
  <si>
    <t>2025-04-15T09:23:00</t>
  </si>
  <si>
    <t>PH-PRJ-025-10</t>
  </si>
  <si>
    <t>2025-05-12T09:05:00</t>
  </si>
  <si>
    <t>PH-PRJ-026-01</t>
  </si>
  <si>
    <t>PRJ-026</t>
  </si>
  <si>
    <t>2020-12-31T10:04:00</t>
  </si>
  <si>
    <t>PH-PRJ-026-02</t>
  </si>
  <si>
    <t>2021-03-04T07:36:00</t>
  </si>
  <si>
    <t>PH-PRJ-026-03</t>
  </si>
  <si>
    <t>2021-07-08T13:09:00</t>
  </si>
  <si>
    <t>PH-PRJ-026-04</t>
  </si>
  <si>
    <t>2021-12-06T09:30:00</t>
  </si>
  <si>
    <t>PH-PRJ-026-05</t>
  </si>
  <si>
    <t>2022-06-13T09:47:00</t>
  </si>
  <si>
    <t>PH-PRJ-026-06</t>
  </si>
  <si>
    <t>2023-04-24T15:44:00</t>
  </si>
  <si>
    <t>PH-PRJ-026-07</t>
  </si>
  <si>
    <t>2023-08-28T11:30:00</t>
  </si>
  <si>
    <t>PH-PRJ-026-08</t>
  </si>
  <si>
    <t>2023-12-06T13:46:00</t>
  </si>
  <si>
    <t>PH-PRJ-026-09</t>
  </si>
  <si>
    <t>2024-04-10T12:28:00</t>
  </si>
  <si>
    <t>PH-PRJ-026-10</t>
  </si>
  <si>
    <t>2024-05-17T17:44:00</t>
  </si>
  <si>
    <t>PH-PRJ-027-01</t>
  </si>
  <si>
    <t>PRJ-027</t>
  </si>
  <si>
    <t>2024-10-17T07:18:00</t>
  </si>
  <si>
    <t>PH-PRJ-027-02</t>
  </si>
  <si>
    <t>2024-11-08T08:09:00</t>
  </si>
  <si>
    <t>PH-PRJ-027-03</t>
  </si>
  <si>
    <t>2024-12-23T07:56:00</t>
  </si>
  <si>
    <t>PH-PRJ-027-04</t>
  </si>
  <si>
    <t>2025-02-15T17:02:00</t>
  </si>
  <si>
    <t>PH-PRJ-027-05</t>
  </si>
  <si>
    <t>2025-04-23T16:48:00</t>
  </si>
  <si>
    <t>PH-PRJ-027-06</t>
  </si>
  <si>
    <t>2025-08-13T09:32:00</t>
  </si>
  <si>
    <t>PH-PRJ-027-07</t>
  </si>
  <si>
    <t>2025-09-27T09:00:00</t>
  </si>
  <si>
    <t>PH-PRJ-027-08</t>
  </si>
  <si>
    <t>2025-11-02T13:53:00</t>
  </si>
  <si>
    <t>PH-PRJ-027-09</t>
  </si>
  <si>
    <t>2025-12-17T13:43:00</t>
  </si>
  <si>
    <t>PH-PRJ-027-10</t>
  </si>
  <si>
    <t>2025-12-30T14:35:00</t>
  </si>
  <si>
    <t>PH-PRJ-028-01</t>
  </si>
  <si>
    <t>PRJ-028</t>
  </si>
  <si>
    <t>2021-12-31T11:58:00</t>
  </si>
  <si>
    <t>PH-PRJ-028-02</t>
  </si>
  <si>
    <t>2022-03-10T16:32:00</t>
  </si>
  <si>
    <t>PH-PRJ-028-03</t>
  </si>
  <si>
    <t>2022-07-26T11:45:00</t>
  </si>
  <si>
    <t>PH-PRJ-028-04</t>
  </si>
  <si>
    <t>2023-01-07T10:27:00</t>
  </si>
  <si>
    <t>PH-PRJ-028-05</t>
  </si>
  <si>
    <t>PH-PRJ-028-06</t>
  </si>
  <si>
    <t>2024-07-12T08:33:00</t>
  </si>
  <si>
    <t>PH-PRJ-028-07</t>
  </si>
  <si>
    <t>2024-11-27T13:08:00</t>
  </si>
  <si>
    <t>PH-PRJ-028-08</t>
  </si>
  <si>
    <t>2025-03-17T10:25:00</t>
  </si>
  <si>
    <t>PH-PRJ-028-09</t>
  </si>
  <si>
    <t>2025-08-02T16:03:00</t>
  </si>
  <si>
    <t>PH-PRJ-028-10</t>
  </si>
  <si>
    <t>2025-09-12T10:25:00</t>
  </si>
  <si>
    <t>PH-PRJ-029-01</t>
  </si>
  <si>
    <t>PRJ-029</t>
  </si>
  <si>
    <t>2022-05-31T09:52:00</t>
  </si>
  <si>
    <t>PH-PRJ-029-02</t>
  </si>
  <si>
    <t>2022-07-15T15:38:00</t>
  </si>
  <si>
    <t>PH-PRJ-029-03</t>
  </si>
  <si>
    <t>2022-10-13T08:52:00</t>
  </si>
  <si>
    <t>PH-PRJ-029-04</t>
  </si>
  <si>
    <t>2023-01-29T14:30:00</t>
  </si>
  <si>
    <t>PH-PRJ-029-05</t>
  </si>
  <si>
    <t>2023-06-13T12:41:00</t>
  </si>
  <si>
    <t>PH-PRJ-029-06</t>
  </si>
  <si>
    <t>2024-01-24T17:25:00</t>
  </si>
  <si>
    <t>PH-PRJ-029-07</t>
  </si>
  <si>
    <t>2024-04-23T13:10:00</t>
  </si>
  <si>
    <t>PH-PRJ-029-08</t>
  </si>
  <si>
    <t>2024-07-04T07:51:00</t>
  </si>
  <si>
    <t>PH-PRJ-029-09</t>
  </si>
  <si>
    <t>2024-10-02T12:41:00</t>
  </si>
  <si>
    <t>PH-PRJ-029-10</t>
  </si>
  <si>
    <t>2024-10-29T13:12:00</t>
  </si>
  <si>
    <t>PH-PRJ-030-01</t>
  </si>
  <si>
    <t>PRJ-030</t>
  </si>
  <si>
    <t>2021-06-04T11:06:00</t>
  </si>
  <si>
    <t>PH-PRJ-030-02</t>
  </si>
  <si>
    <t>2021-07-26T08:04:00</t>
  </si>
  <si>
    <t>PH-PRJ-030-03</t>
  </si>
  <si>
    <t>2021-11-08T12:38:00</t>
  </si>
  <si>
    <t>PH-PRJ-030-04</t>
  </si>
  <si>
    <t>2022-03-14T12:01:00</t>
  </si>
  <si>
    <t>PH-PRJ-030-05</t>
  </si>
  <si>
    <t>2022-08-18T10:18:00</t>
  </si>
  <si>
    <t>PH-PRJ-030-06</t>
  </si>
  <si>
    <t>2023-05-07T09:34:00</t>
  </si>
  <si>
    <t>PH-PRJ-030-07</t>
  </si>
  <si>
    <t>2023-08-20T08:04:00</t>
  </si>
  <si>
    <t>PH-PRJ-030-08</t>
  </si>
  <si>
    <t>2023-11-12T10:38:00</t>
  </si>
  <si>
    <t>PH-PRJ-030-09</t>
  </si>
  <si>
    <t>2024-02-25T07:48:00</t>
  </si>
  <si>
    <t>PH-PRJ-030-10</t>
  </si>
  <si>
    <t>2024-03-27T11:12:00</t>
  </si>
  <si>
    <t>PH-PRJ-031-01</t>
  </si>
  <si>
    <t>PRJ-031</t>
  </si>
  <si>
    <t>2022-07-08T15:12:00</t>
  </si>
  <si>
    <t>PH-PRJ-031-02</t>
  </si>
  <si>
    <t>2022-08-31T17:59:00</t>
  </si>
  <si>
    <t>PH-PRJ-031-03</t>
  </si>
  <si>
    <t>2022-12-17T07:15:00</t>
  </si>
  <si>
    <t>PH-PRJ-031-04</t>
  </si>
  <si>
    <t>2023-04-25T11:05:00</t>
  </si>
  <si>
    <t>PH-PRJ-031-05</t>
  </si>
  <si>
    <t>2023-10-04T16:36:00</t>
  </si>
  <si>
    <t>PH-PRJ-031-06</t>
  </si>
  <si>
    <t>2024-06-30T07:36:00</t>
  </si>
  <si>
    <t>PH-PRJ-031-07</t>
  </si>
  <si>
    <t>2024-10-16T14:02:00</t>
  </si>
  <si>
    <t>PH-PRJ-031-08</t>
  </si>
  <si>
    <t>2025-01-10T07:20:00</t>
  </si>
  <si>
    <t>PH-PRJ-031-09</t>
  </si>
  <si>
    <t>2025-04-28T08:19:00</t>
  </si>
  <si>
    <t>PH-PRJ-031-10</t>
  </si>
  <si>
    <t>2025-05-30T07:22:00</t>
  </si>
  <si>
    <t>PH-PRJ-032-01</t>
  </si>
  <si>
    <t>PRJ-032</t>
  </si>
  <si>
    <t>2021-03-23T11:25:00</t>
  </si>
  <si>
    <t>PH-PRJ-032-02</t>
  </si>
  <si>
    <t>2021-05-10T15:12:00</t>
  </si>
  <si>
    <t>PH-PRJ-032-03</t>
  </si>
  <si>
    <t>2021-08-14T12:48:00</t>
  </si>
  <si>
    <t>PH-PRJ-032-04</t>
  </si>
  <si>
    <t>2021-12-07T13:46:00</t>
  </si>
  <si>
    <t>PH-PRJ-032-05</t>
  </si>
  <si>
    <t>2022-04-30T12:08:00</t>
  </si>
  <si>
    <t>PH-PRJ-032-06</t>
  </si>
  <si>
    <t>2022-12-26T17:06:00</t>
  </si>
  <si>
    <t>PH-PRJ-032-07</t>
  </si>
  <si>
    <t>2023-04-01T12:26:00</t>
  </si>
  <si>
    <t>PH-PRJ-032-08</t>
  </si>
  <si>
    <t>2023-06-16T15:06:00</t>
  </si>
  <si>
    <t>PH-PRJ-032-09</t>
  </si>
  <si>
    <t>2023-09-20T15:51:00</t>
  </si>
  <si>
    <t>PH-PRJ-032-10</t>
  </si>
  <si>
    <t>2023-10-18T09:01:00</t>
  </si>
  <si>
    <t>PH-PRJ-033-01</t>
  </si>
  <si>
    <t>PRJ-033</t>
  </si>
  <si>
    <t>2021-06-15T16:50:00</t>
  </si>
  <si>
    <t>PH-PRJ-033-02</t>
  </si>
  <si>
    <t>2021-07-19T13:30:00</t>
  </si>
  <si>
    <t>PH-PRJ-033-03</t>
  </si>
  <si>
    <t>2021-09-26T16:55:00</t>
  </si>
  <si>
    <t>PH-PRJ-033-04</t>
  </si>
  <si>
    <t>2021-12-17T07:18:00</t>
  </si>
  <si>
    <t>PH-PRJ-033-05</t>
  </si>
  <si>
    <t>2022-03-30T09:09:00</t>
  </si>
  <si>
    <t>PH-PRJ-033-06</t>
  </si>
  <si>
    <t>2022-09-18T17:29:00</t>
  </si>
  <si>
    <t>PH-PRJ-033-07</t>
  </si>
  <si>
    <t>2022-11-26T08:56:00</t>
  </si>
  <si>
    <t>PH-PRJ-033-08</t>
  </si>
  <si>
    <t>2023-01-20T17:05:00</t>
  </si>
  <si>
    <t>PH-PRJ-033-09</t>
  </si>
  <si>
    <t>2023-03-30T10:56:00</t>
  </si>
  <si>
    <t>PH-PRJ-033-10</t>
  </si>
  <si>
    <t>2023-04-19T10:51:00</t>
  </si>
  <si>
    <t>PH-PRJ-034-01</t>
  </si>
  <si>
    <t>PRJ-034</t>
  </si>
  <si>
    <t>2020-05-01T17:41:00</t>
  </si>
  <si>
    <t>PH-PRJ-034-02</t>
  </si>
  <si>
    <t>2020-06-15T09:49:00</t>
  </si>
  <si>
    <t>PH-PRJ-034-03</t>
  </si>
  <si>
    <t>2020-09-13T09:32:00</t>
  </si>
  <si>
    <t>PH-PRJ-034-04</t>
  </si>
  <si>
    <t>2020-12-30T15:46:00</t>
  </si>
  <si>
    <t>PH-PRJ-034-05</t>
  </si>
  <si>
    <t>2021-05-14T16:41:00</t>
  </si>
  <si>
    <t>PH-PRJ-034-06</t>
  </si>
  <si>
    <t>2021-12-25T15:59:00</t>
  </si>
  <si>
    <t>PH-PRJ-034-07</t>
  </si>
  <si>
    <t>2022-03-25T12:28:00</t>
  </si>
  <si>
    <t>PH-PRJ-034-08</t>
  </si>
  <si>
    <t>2022-06-05T09:21:00</t>
  </si>
  <si>
    <t>PH-PRJ-034-09</t>
  </si>
  <si>
    <t>2022-09-03T11:23:00</t>
  </si>
  <si>
    <t>PH-PRJ-034-10</t>
  </si>
  <si>
    <t>2022-09-30T16:54:00</t>
  </si>
  <si>
    <t>PH-PRJ-035-01</t>
  </si>
  <si>
    <t>PRJ-035</t>
  </si>
  <si>
    <t>2024-01-27T13:02:00</t>
  </si>
  <si>
    <t>PH-PRJ-035-02</t>
  </si>
  <si>
    <t>2024-03-07T17:24:00</t>
  </si>
  <si>
    <t>PH-PRJ-035-03</t>
  </si>
  <si>
    <t>2024-05-27T10:13:00</t>
  </si>
  <si>
    <t>PH-PRJ-035-04</t>
  </si>
  <si>
    <t>2024-09-01T16:38:00</t>
  </si>
  <si>
    <t>PH-PRJ-035-05</t>
  </si>
  <si>
    <t>2024-12-31T08:09:00</t>
  </si>
  <si>
    <t>PH-PRJ-035-06</t>
  </si>
  <si>
    <t>2025-07-21T16:40:00</t>
  </si>
  <si>
    <t>PH-PRJ-035-07</t>
  </si>
  <si>
    <t>2025-10-10T14:06:00</t>
  </si>
  <si>
    <t>PH-PRJ-035-08</t>
  </si>
  <si>
    <t>2025-12-13T09:49:00</t>
  </si>
  <si>
    <t>PH-PRJ-035-09</t>
  </si>
  <si>
    <t>2026-03-04T11:35:00</t>
  </si>
  <si>
    <t>PH-PRJ-035-10</t>
  </si>
  <si>
    <t>2026-03-28T08:31:00</t>
  </si>
  <si>
    <t>PH-PRJ-036-01</t>
  </si>
  <si>
    <t>PRJ-036</t>
  </si>
  <si>
    <t>2023-08-13T08:29:00</t>
  </si>
  <si>
    <t>PH-PRJ-036-02</t>
  </si>
  <si>
    <t>2023-09-03T12:10:00</t>
  </si>
  <si>
    <t>PH-PRJ-036-03</t>
  </si>
  <si>
    <t>2023-10-15T11:10:00</t>
  </si>
  <si>
    <t>PH-PRJ-036-04</t>
  </si>
  <si>
    <t>2023-12-04T08:17:00</t>
  </si>
  <si>
    <t>PH-PRJ-036-05</t>
  </si>
  <si>
    <t>2024-02-05T16:23:00</t>
  </si>
  <si>
    <t>PH-PRJ-036-06</t>
  </si>
  <si>
    <t>2024-05-20T12:05:00</t>
  </si>
  <si>
    <t>PH-PRJ-036-07</t>
  </si>
  <si>
    <t>2024-07-01T08:11:00</t>
  </si>
  <si>
    <t>PH-PRJ-036-08</t>
  </si>
  <si>
    <t>2024-08-03T14:16:00</t>
  </si>
  <si>
    <t>PH-PRJ-036-09</t>
  </si>
  <si>
    <t>2024-09-14T14:16:00</t>
  </si>
  <si>
    <t>PH-PRJ-036-10</t>
  </si>
  <si>
    <t>2024-09-26T14:41:00</t>
  </si>
  <si>
    <t>PH-PRJ-037-01</t>
  </si>
  <si>
    <t>PRJ-037</t>
  </si>
  <si>
    <t>2020-06-18T09:07:00</t>
  </si>
  <si>
    <t>PH-PRJ-037-02</t>
  </si>
  <si>
    <t>2020-07-25T16:31:00</t>
  </si>
  <si>
    <t>PH-PRJ-037-03</t>
  </si>
  <si>
    <t>2020-10-08T07:23:00</t>
  </si>
  <si>
    <t>PH-PRJ-037-04</t>
  </si>
  <si>
    <t>2021-01-06T11:25:00</t>
  </si>
  <si>
    <t>PH-PRJ-037-05</t>
  </si>
  <si>
    <t>2021-04-28T13:54:00</t>
  </si>
  <si>
    <t>PH-PRJ-037-06</t>
  </si>
  <si>
    <t>2021-11-01T16:58:00</t>
  </si>
  <si>
    <t>PH-PRJ-037-07</t>
  </si>
  <si>
    <t>2022-01-15T17:08:00</t>
  </si>
  <si>
    <t>PH-PRJ-037-08</t>
  </si>
  <si>
    <t>2022-03-16T14:23:00</t>
  </si>
  <si>
    <t>PH-PRJ-037-09</t>
  </si>
  <si>
    <t>2022-05-30T15:54:00</t>
  </si>
  <si>
    <t>PH-PRJ-037-10</t>
  </si>
  <si>
    <t>2022-06-21T16:20:00</t>
  </si>
  <si>
    <t>PH-PRJ-038-01</t>
  </si>
  <si>
    <t>PRJ-038</t>
  </si>
  <si>
    <t>2021-11-11T12:05:00</t>
  </si>
  <si>
    <t>PH-PRJ-038-02</t>
  </si>
  <si>
    <t>2021-12-06T17:26:00</t>
  </si>
  <si>
    <t>PH-PRJ-038-03</t>
  </si>
  <si>
    <t>2022-01-26T15:28:00</t>
  </si>
  <si>
    <t>PH-PRJ-038-04</t>
  </si>
  <si>
    <t>2022-03-28T11:56:00</t>
  </si>
  <si>
    <t>PH-PRJ-038-05</t>
  </si>
  <si>
    <t>2022-06-12T17:02:00</t>
  </si>
  <si>
    <t>PH-PRJ-038-06</t>
  </si>
  <si>
    <t>2022-10-17T16:41:00</t>
  </si>
  <si>
    <t>PH-PRJ-038-07</t>
  </si>
  <si>
    <t>2022-12-07T07:47:00</t>
  </si>
  <si>
    <t>PH-PRJ-038-08</t>
  </si>
  <si>
    <t>2023-01-16T10:44:00</t>
  </si>
  <si>
    <t>PH-PRJ-038-09</t>
  </si>
  <si>
    <t>2023-03-08T15:00:00</t>
  </si>
  <si>
    <t>PH-PRJ-038-10</t>
  </si>
  <si>
    <t>2023-03-23T09:54:00</t>
  </si>
  <si>
    <t>PH-PRJ-039-01</t>
  </si>
  <si>
    <t>PRJ-039</t>
  </si>
  <si>
    <t>2022-12-06T08:18:00</t>
  </si>
  <si>
    <t>PH-PRJ-039-02</t>
  </si>
  <si>
    <t>2022-12-25T13:10:00</t>
  </si>
  <si>
    <t>PH-PRJ-039-03</t>
  </si>
  <si>
    <t>2023-02-02T16:25:00</t>
  </si>
  <si>
    <t>PH-PRJ-039-04</t>
  </si>
  <si>
    <t>2023-03-20T08:14:00</t>
  </si>
  <si>
    <t>PH-PRJ-039-05</t>
  </si>
  <si>
    <t>2023-05-17T13:55:00</t>
  </si>
  <si>
    <t>PH-PRJ-039-06</t>
  </si>
  <si>
    <t>2023-08-22T14:42:00</t>
  </si>
  <si>
    <t>PH-PRJ-039-07</t>
  </si>
  <si>
    <t>2023-09-30T08:22:00</t>
  </si>
  <si>
    <t>PH-PRJ-039-08</t>
  </si>
  <si>
    <t>2023-10-31T14:29:00</t>
  </si>
  <si>
    <t>PH-PRJ-039-09</t>
  </si>
  <si>
    <t>2023-12-09T17:34:00</t>
  </si>
  <si>
    <t>PH-PRJ-039-10</t>
  </si>
  <si>
    <t>2023-12-20T14:06:00</t>
  </si>
  <si>
    <t>PH-PRJ-040-01</t>
  </si>
  <si>
    <t>PRJ-040</t>
  </si>
  <si>
    <t>2025-04-04T08:11:00</t>
  </si>
  <si>
    <t>PH-PRJ-040-02</t>
  </si>
  <si>
    <t>2025-05-20T08:58:00</t>
  </si>
  <si>
    <t>PH-PRJ-040-03</t>
  </si>
  <si>
    <t>2025-08-21T13:49:00</t>
  </si>
  <si>
    <t>PH-PRJ-040-04</t>
  </si>
  <si>
    <t>2025-12-10T10:25:00</t>
  </si>
  <si>
    <t>PH-PRJ-040-05</t>
  </si>
  <si>
    <t>2026-04-28T12:04:00</t>
  </si>
  <si>
    <t>PH-PRJ-040-06</t>
  </si>
  <si>
    <t>2026-12-16T12:21:00</t>
  </si>
  <si>
    <t>PH-PRJ-040-07</t>
  </si>
  <si>
    <t>2027-03-19T16:31:00</t>
  </si>
  <si>
    <t>PH-PRJ-040-08</t>
  </si>
  <si>
    <t>2027-06-01T10:44:00</t>
  </si>
  <si>
    <t>PH-PRJ-040-09</t>
  </si>
  <si>
    <t>2027-09-02T14:07:00</t>
  </si>
  <si>
    <t>PH-PRJ-040-10</t>
  </si>
  <si>
    <t>2027-09-29T11:29:00</t>
  </si>
  <si>
    <t>PH-PRJ-041-01</t>
  </si>
  <si>
    <t>PRJ-041</t>
  </si>
  <si>
    <t>2023-03-12T07:34:00</t>
  </si>
  <si>
    <t>PH-PRJ-041-02</t>
  </si>
  <si>
    <t>2023-04-12T09:30:00</t>
  </si>
  <si>
    <t>PH-PRJ-041-03</t>
  </si>
  <si>
    <t>2023-06-14T09:40:00</t>
  </si>
  <si>
    <t>PH-PRJ-041-04</t>
  </si>
  <si>
    <t>2023-08-28T10:20:00</t>
  </si>
  <si>
    <t>PH-PRJ-041-05</t>
  </si>
  <si>
    <t>2023-11-30T16:02:00</t>
  </si>
  <si>
    <t>PH-PRJ-041-06</t>
  </si>
  <si>
    <t>2024-05-05T16:49:00</t>
  </si>
  <si>
    <t>PH-PRJ-041-07</t>
  </si>
  <si>
    <t>2024-07-07T13:03:00</t>
  </si>
  <si>
    <t>PH-PRJ-041-08</t>
  </si>
  <si>
    <t>2024-08-26T12:50:00</t>
  </si>
  <si>
    <t>PH-PRJ-041-09</t>
  </si>
  <si>
    <t>2024-10-28T13:30:00</t>
  </si>
  <si>
    <t>PH-PRJ-041-10</t>
  </si>
  <si>
    <t>2024-11-15T10:03:00</t>
  </si>
  <si>
    <t>PH-PRJ-042-01</t>
  </si>
  <si>
    <t>PRJ-042</t>
  </si>
  <si>
    <t>2022-12-31T10:55:00</t>
  </si>
  <si>
    <t>PH-PRJ-042-02</t>
  </si>
  <si>
    <t>2023-03-10T07:48:00</t>
  </si>
  <si>
    <t>PH-PRJ-042-03</t>
  </si>
  <si>
    <t>2023-07-26T17:27:00</t>
  </si>
  <si>
    <t>PH-PRJ-042-04</t>
  </si>
  <si>
    <t>2024-01-07T11:16:00</t>
  </si>
  <si>
    <t>PH-PRJ-042-05</t>
  </si>
  <si>
    <t>2024-08-01T17:11:00</t>
  </si>
  <si>
    <t>PH-PRJ-042-06</t>
  </si>
  <si>
    <t>2025-07-12T08:09:00</t>
  </si>
  <si>
    <t>PH-PRJ-042-07</t>
  </si>
  <si>
    <t>2025-11-27T11:25:00</t>
  </si>
  <si>
    <t>PH-PRJ-042-08</t>
  </si>
  <si>
    <t>2026-03-17T08:19:00</t>
  </si>
  <si>
    <t>PH-PRJ-042-09</t>
  </si>
  <si>
    <t>2026-08-02T14:55:00</t>
  </si>
  <si>
    <t>PH-PRJ-042-10</t>
  </si>
  <si>
    <t>2026-09-12T13:33:00</t>
  </si>
  <si>
    <t>PH-PRJ-043-01</t>
  </si>
  <si>
    <t>PRJ-043</t>
  </si>
  <si>
    <t>2024-07-21T10:42:00</t>
  </si>
  <si>
    <t>PH-PRJ-043-02</t>
  </si>
  <si>
    <t>2024-09-01T11:11:00</t>
  </si>
  <si>
    <t>PH-PRJ-043-03</t>
  </si>
  <si>
    <t>2024-11-24T07:05:00</t>
  </si>
  <si>
    <t>PH-PRJ-043-04</t>
  </si>
  <si>
    <t>2025-03-04T13:21:00</t>
  </si>
  <si>
    <t>PH-PRJ-043-05</t>
  </si>
  <si>
    <t>2025-07-08T11:10:00</t>
  </si>
  <si>
    <t>PH-PRJ-043-06</t>
  </si>
  <si>
    <t>2026-02-03T12:26:00</t>
  </si>
  <si>
    <t>PH-PRJ-043-07</t>
  </si>
  <si>
    <t>2026-04-28T14:30:00</t>
  </si>
  <si>
    <t>PH-PRJ-043-08</t>
  </si>
  <si>
    <t>2026-07-04T15:44:00</t>
  </si>
  <si>
    <t>PH-PRJ-043-09</t>
  </si>
  <si>
    <t>2026-09-26T09:44:00</t>
  </si>
  <si>
    <t>PH-PRJ-043-10</t>
  </si>
  <si>
    <t>2026-10-21T13:22:00</t>
  </si>
  <si>
    <t>PH-PRJ-044-01</t>
  </si>
  <si>
    <t>PRJ-044</t>
  </si>
  <si>
    <t>2024-06-06T16:24:00</t>
  </si>
  <si>
    <t>PH-PRJ-044-02</t>
  </si>
  <si>
    <t>2024-07-12T07:35:00</t>
  </si>
  <si>
    <t>PH-PRJ-044-03</t>
  </si>
  <si>
    <t>2024-09-22T16:12:00</t>
  </si>
  <si>
    <t>PH-PRJ-044-04</t>
  </si>
  <si>
    <t>2024-12-17T08:46:00</t>
  </si>
  <si>
    <t>PH-PRJ-044-05</t>
  </si>
  <si>
    <t>2025-04-04T17:37:00</t>
  </si>
  <si>
    <t>PH-PRJ-044-06</t>
  </si>
  <si>
    <t>2025-10-01T16:09:00</t>
  </si>
  <si>
    <t>PH-PRJ-044-07</t>
  </si>
  <si>
    <t>2025-12-12T12:42:00</t>
  </si>
  <si>
    <t>PH-PRJ-044-08</t>
  </si>
  <si>
    <t>2026-02-07T07:09:00</t>
  </si>
  <si>
    <t>PH-PRJ-044-09</t>
  </si>
  <si>
    <t>2026-04-20T14:59:00</t>
  </si>
  <si>
    <t>PH-PRJ-044-10</t>
  </si>
  <si>
    <t>2026-05-11T09:31:00</t>
  </si>
  <si>
    <t>PH-PRJ-045-01</t>
  </si>
  <si>
    <t>PRJ-045</t>
  </si>
  <si>
    <t>2022-04-08T12:07:00</t>
  </si>
  <si>
    <t>PH-PRJ-045-02</t>
  </si>
  <si>
    <t>2022-05-24T17:26:00</t>
  </si>
  <si>
    <t>PH-PRJ-045-03</t>
  </si>
  <si>
    <t>2022-08-25T11:33:00</t>
  </si>
  <si>
    <t>PH-PRJ-045-04</t>
  </si>
  <si>
    <t>2022-12-14T07:28:00</t>
  </si>
  <si>
    <t>PH-PRJ-045-05</t>
  </si>
  <si>
    <t>2023-05-02T09:40:00</t>
  </si>
  <si>
    <t>PH-PRJ-045-06</t>
  </si>
  <si>
    <t>2023-12-20T14:40:00</t>
  </si>
  <si>
    <t>PH-PRJ-045-07</t>
  </si>
  <si>
    <t>2024-03-22T16:06:00</t>
  </si>
  <si>
    <t>PH-PRJ-045-08</t>
  </si>
  <si>
    <t>2024-06-04T07:13:00</t>
  </si>
  <si>
    <t>PH-PRJ-045-09</t>
  </si>
  <si>
    <t>2024-09-05T10:26:00</t>
  </si>
  <si>
    <t>PH-PRJ-045-10</t>
  </si>
  <si>
    <t>2024-10-02T15:49:00</t>
  </si>
  <si>
    <t>PH-PRJ-046-01</t>
  </si>
  <si>
    <t>PRJ-046</t>
  </si>
  <si>
    <t>2022-11-25T09:38:00</t>
  </si>
  <si>
    <t>PH-PRJ-046-02</t>
  </si>
  <si>
    <t>2023-01-16T13:13:00</t>
  </si>
  <si>
    <t>PH-PRJ-046-03</t>
  </si>
  <si>
    <t>2023-05-01T12:13:00</t>
  </si>
  <si>
    <t>PH-PRJ-046-04</t>
  </si>
  <si>
    <t>2023-09-04T10:43:00</t>
  </si>
  <si>
    <t>PH-PRJ-046-05</t>
  </si>
  <si>
    <t>2024-02-08T16:00:00</t>
  </si>
  <si>
    <t>PH-PRJ-046-06</t>
  </si>
  <si>
    <t>2024-10-27T12:52:00</t>
  </si>
  <si>
    <t>PH-PRJ-046-07</t>
  </si>
  <si>
    <t>2025-02-09T12:01:00</t>
  </si>
  <si>
    <t>PH-PRJ-046-08</t>
  </si>
  <si>
    <t>2025-05-04T11:57:00</t>
  </si>
  <si>
    <t>PH-PRJ-046-09</t>
  </si>
  <si>
    <t>2025-08-17T11:32:00</t>
  </si>
  <si>
    <t>PH-PRJ-046-10</t>
  </si>
  <si>
    <t>2025-09-17T08:44:00</t>
  </si>
  <si>
    <t>PH-PRJ-047-01</t>
  </si>
  <si>
    <t>PRJ-047</t>
  </si>
  <si>
    <t>2024-09-10T14:41:00</t>
  </si>
  <si>
    <t>PH-PRJ-047-02</t>
  </si>
  <si>
    <t>2024-10-10T14:26:00</t>
  </si>
  <si>
    <t>PH-PRJ-047-03</t>
  </si>
  <si>
    <t>2024-12-09T13:22:00</t>
  </si>
  <si>
    <t>PH-PRJ-047-04</t>
  </si>
  <si>
    <t>2025-02-19T12:53:00</t>
  </si>
  <si>
    <t>PH-PRJ-047-05</t>
  </si>
  <si>
    <t>2025-05-20T15:27:00</t>
  </si>
  <si>
    <t>PH-PRJ-047-06</t>
  </si>
  <si>
    <t>2025-10-17T15:48:00</t>
  </si>
  <si>
    <t>PH-PRJ-047-07</t>
  </si>
  <si>
    <t>2025-12-16T12:07:00</t>
  </si>
  <si>
    <t>PH-PRJ-047-08</t>
  </si>
  <si>
    <t>2026-02-02T14:27:00</t>
  </si>
  <si>
    <t>PH-PRJ-047-09</t>
  </si>
  <si>
    <t>2026-04-03T12:11:00</t>
  </si>
  <si>
    <t>PH-PRJ-047-10</t>
  </si>
  <si>
    <t>2026-04-21T15:38:00</t>
  </si>
  <si>
    <t>PH-PRJ-048-01</t>
  </si>
  <si>
    <t>PRJ-048</t>
  </si>
  <si>
    <t>2022-07-28T09:34:00</t>
  </si>
  <si>
    <t>PH-PRJ-048-02</t>
  </si>
  <si>
    <t>2022-08-18T13:24:00</t>
  </si>
  <si>
    <t>PH-PRJ-048-03</t>
  </si>
  <si>
    <t>2022-09-29T11:54:00</t>
  </si>
  <si>
    <t>PH-PRJ-048-04</t>
  </si>
  <si>
    <t>2022-11-18T17:44:00</t>
  </si>
  <si>
    <t>PH-PRJ-048-05</t>
  </si>
  <si>
    <t>2023-01-20T17:27:00</t>
  </si>
  <si>
    <t>PH-PRJ-048-06</t>
  </si>
  <si>
    <t>2023-05-05T17:18:00</t>
  </si>
  <si>
    <t>PH-PRJ-048-07</t>
  </si>
  <si>
    <t>2023-06-16T16:59:00</t>
  </si>
  <si>
    <t>PH-PRJ-048-08</t>
  </si>
  <si>
    <t>2023-07-19T08:05:00</t>
  </si>
  <si>
    <t>PH-PRJ-048-09</t>
  </si>
  <si>
    <t>2023-08-30T08:05:00</t>
  </si>
  <si>
    <t>PH-PRJ-048-10</t>
  </si>
  <si>
    <t>2023-09-11T17:01:00</t>
  </si>
  <si>
    <t>PH-PRJ-049-01</t>
  </si>
  <si>
    <t>PRJ-049</t>
  </si>
  <si>
    <t>2024-10-09T16:59:00</t>
  </si>
  <si>
    <t>PH-PRJ-049-02</t>
  </si>
  <si>
    <t>2024-11-03T13:06:00</t>
  </si>
  <si>
    <t>PH-PRJ-049-03</t>
  </si>
  <si>
    <t>2024-12-24T14:47:00</t>
  </si>
  <si>
    <t>PH-PRJ-049-04</t>
  </si>
  <si>
    <t>2025-02-23T16:59:00</t>
  </si>
  <si>
    <t>PH-PRJ-049-05</t>
  </si>
  <si>
    <t>2025-05-10T15:06:00</t>
  </si>
  <si>
    <t>PH-PRJ-049-06</t>
  </si>
  <si>
    <t>2025-09-14T17:28:00</t>
  </si>
  <si>
    <t>PH-PRJ-049-07</t>
  </si>
  <si>
    <t>2025-11-04T15:37:00</t>
  </si>
  <si>
    <t>PH-PRJ-049-08</t>
  </si>
  <si>
    <t>2025-12-14T07:42:00</t>
  </si>
  <si>
    <t>PH-PRJ-049-09</t>
  </si>
  <si>
    <t>2026-02-03T11:54:00</t>
  </si>
  <si>
    <t>PH-PRJ-049-10</t>
  </si>
  <si>
    <t>2026-02-18T13:13:00</t>
  </si>
  <si>
    <t>PH-PRJ-050-01</t>
  </si>
  <si>
    <t>PRJ-050</t>
  </si>
  <si>
    <t>2022-07-31T10:49:00</t>
  </si>
  <si>
    <t>PH-PRJ-050-02</t>
  </si>
  <si>
    <t>2022-08-31T14:35:00</t>
  </si>
  <si>
    <t>PH-PRJ-050-03</t>
  </si>
  <si>
    <t>2022-11-02T13:07:00</t>
  </si>
  <si>
    <t>PH-PRJ-050-04</t>
  </si>
  <si>
    <t>2023-01-16T10:54:00</t>
  </si>
  <si>
    <t>PH-PRJ-050-05</t>
  </si>
  <si>
    <t>2023-04-20T14:07:00</t>
  </si>
  <si>
    <t>PH-PRJ-050-06</t>
  </si>
  <si>
    <t>2023-09-24T12:50:00</t>
  </si>
  <si>
    <t>PH-PRJ-050-07</t>
  </si>
  <si>
    <t>2023-11-26T14:26:00</t>
  </si>
  <si>
    <t>PH-PRJ-050-08</t>
  </si>
  <si>
    <t>2024-01-15T17:45:00</t>
  </si>
  <si>
    <t>PH-PRJ-050-09</t>
  </si>
  <si>
    <t>2024-03-18T13:00:00</t>
  </si>
  <si>
    <t>PH-PRJ-050-10</t>
  </si>
  <si>
    <t>2024-04-05T12:50:00</t>
  </si>
  <si>
    <t>PH-PRJ-051-01</t>
  </si>
  <si>
    <t>PRJ-051</t>
  </si>
  <si>
    <t>2020-06-05T10:32:00</t>
  </si>
  <si>
    <t>PH-PRJ-051-02</t>
  </si>
  <si>
    <t>2020-07-27T11:17:00</t>
  </si>
  <si>
    <t>PH-PRJ-051-03</t>
  </si>
  <si>
    <t>2020-11-09T17:16:00</t>
  </si>
  <si>
    <t>PH-PRJ-051-04</t>
  </si>
  <si>
    <t>2021-03-15T11:53:00</t>
  </si>
  <si>
    <t>PH-PRJ-051-05</t>
  </si>
  <si>
    <t>2021-08-19T13:43:00</t>
  </si>
  <si>
    <t>PH-PRJ-051-06</t>
  </si>
  <si>
    <t>2022-05-08T10:00:00</t>
  </si>
  <si>
    <t>PH-PRJ-051-07</t>
  </si>
  <si>
    <t>2022-08-21T13:02:00</t>
  </si>
  <si>
    <t>PH-PRJ-051-08</t>
  </si>
  <si>
    <t>2022-11-13T07:01:00</t>
  </si>
  <si>
    <t>PH-PRJ-051-09</t>
  </si>
  <si>
    <t>2023-02-26T09:50:00</t>
  </si>
  <si>
    <t>PH-PRJ-051-10</t>
  </si>
  <si>
    <t>2023-03-29T12:53:00</t>
  </si>
  <si>
    <t>PH-PRJ-052-01</t>
  </si>
  <si>
    <t>PRJ-052</t>
  </si>
  <si>
    <t>2024-11-20T15:52:00</t>
  </si>
  <si>
    <t>PH-PRJ-052-02</t>
  </si>
  <si>
    <t>2025-01-31T16:20:00</t>
  </si>
  <si>
    <t>PH-PRJ-052-03</t>
  </si>
  <si>
    <t>2025-06-24T12:10:00</t>
  </si>
  <si>
    <t>PH-PRJ-052-04</t>
  </si>
  <si>
    <t>2025-12-13T10:35:00</t>
  </si>
  <si>
    <t>PH-PRJ-052-05</t>
  </si>
  <si>
    <t>2026-07-17T13:12:00</t>
  </si>
  <si>
    <t>PH-PRJ-052-06</t>
  </si>
  <si>
    <t>2027-07-12T16:41:00</t>
  </si>
  <si>
    <t>PH-PRJ-052-07</t>
  </si>
  <si>
    <t>2027-12-03T13:53:00</t>
  </si>
  <si>
    <t>PH-PRJ-052-08</t>
  </si>
  <si>
    <t>2028-03-27T07:51:00</t>
  </si>
  <si>
    <t>PH-PRJ-052-09</t>
  </si>
  <si>
    <t>2028-08-18T16:27:00</t>
  </si>
  <si>
    <t>PH-PRJ-052-10</t>
  </si>
  <si>
    <t>2028-09-30T09:40:00</t>
  </si>
  <si>
    <t>PH-PRJ-053-01</t>
  </si>
  <si>
    <t>PRJ-053</t>
  </si>
  <si>
    <t>2023-11-13T13:46:00</t>
  </si>
  <si>
    <t>PH-PRJ-053-02</t>
  </si>
  <si>
    <t>2024-01-15T09:25:00</t>
  </si>
  <si>
    <t>PH-PRJ-053-03</t>
  </si>
  <si>
    <t>2024-05-20T12:33:00</t>
  </si>
  <si>
    <t>PH-PRJ-053-04</t>
  </si>
  <si>
    <t>2024-10-18T09:27:00</t>
  </si>
  <si>
    <t>PH-PRJ-053-05</t>
  </si>
  <si>
    <t>2025-04-25T08:45:00</t>
  </si>
  <si>
    <t>PH-PRJ-053-06</t>
  </si>
  <si>
    <t>2026-03-06T09:32:00</t>
  </si>
  <si>
    <t>PH-PRJ-053-07</t>
  </si>
  <si>
    <t>2026-07-10T08:40:00</t>
  </si>
  <si>
    <t>PH-PRJ-053-08</t>
  </si>
  <si>
    <t>2026-10-18T16:50:00</t>
  </si>
  <si>
    <t>PH-PRJ-053-09</t>
  </si>
  <si>
    <t>2027-02-21T13:53:00</t>
  </si>
  <si>
    <t>PH-PRJ-053-10</t>
  </si>
  <si>
    <t>2027-03-30T17:58:00</t>
  </si>
  <si>
    <t>PH-PRJ-054-01</t>
  </si>
  <si>
    <t>PRJ-054</t>
  </si>
  <si>
    <t>2022-09-20T11:53:00</t>
  </si>
  <si>
    <t>PH-PRJ-054-02</t>
  </si>
  <si>
    <t>2022-10-18T15:10:00</t>
  </si>
  <si>
    <t>PH-PRJ-054-03</t>
  </si>
  <si>
    <t>2022-12-14T12:13:00</t>
  </si>
  <si>
    <t>PH-PRJ-054-04</t>
  </si>
  <si>
    <t>2023-02-20T08:05:00</t>
  </si>
  <si>
    <t>PH-PRJ-054-05</t>
  </si>
  <si>
    <t>2023-05-16T07:27:00</t>
  </si>
  <si>
    <t>PH-PRJ-054-06</t>
  </si>
  <si>
    <t>2023-10-05T07:40:00</t>
  </si>
  <si>
    <t>PH-PRJ-054-07</t>
  </si>
  <si>
    <t>2023-12-01T16:09:00</t>
  </si>
  <si>
    <t>PH-PRJ-054-08</t>
  </si>
  <si>
    <t>2024-01-15T07:39:00</t>
  </si>
  <si>
    <t>PH-PRJ-054-09</t>
  </si>
  <si>
    <t>2024-03-12T15:58:00</t>
  </si>
  <si>
    <t>PH-PRJ-054-10</t>
  </si>
  <si>
    <t>2024-03-29T08:36:00</t>
  </si>
  <si>
    <t>PH-PRJ-055-01</t>
  </si>
  <si>
    <t>PRJ-055</t>
  </si>
  <si>
    <t>2024-11-16T13:01:00</t>
  </si>
  <si>
    <t>PH-PRJ-055-02</t>
  </si>
  <si>
    <t>2024-12-07T09:29:00</t>
  </si>
  <si>
    <t>PH-PRJ-055-03</t>
  </si>
  <si>
    <t>2025-01-18T17:40:00</t>
  </si>
  <si>
    <t>PH-PRJ-055-04</t>
  </si>
  <si>
    <t>2025-03-09T12:11:00</t>
  </si>
  <si>
    <t>PH-PRJ-055-05</t>
  </si>
  <si>
    <t>2025-05-11T10:41:00</t>
  </si>
  <si>
    <t>PH-PRJ-055-06</t>
  </si>
  <si>
    <t>2025-08-24T10:19:00</t>
  </si>
  <si>
    <t>PH-PRJ-055-07</t>
  </si>
  <si>
    <t>2025-10-05T10:34:00</t>
  </si>
  <si>
    <t>PH-PRJ-055-08</t>
  </si>
  <si>
    <t>2025-11-07T10:46:00</t>
  </si>
  <si>
    <t>PH-PRJ-055-09</t>
  </si>
  <si>
    <t>2025-12-19T13:49:00</t>
  </si>
  <si>
    <t>PH-PRJ-055-10</t>
  </si>
  <si>
    <t>2025-12-31T11:42:00</t>
  </si>
  <si>
    <t>PH-PRJ-056-01</t>
  </si>
  <si>
    <t>PRJ-056</t>
  </si>
  <si>
    <t>2024-05-02T07:17:00</t>
  </si>
  <si>
    <t>PH-PRJ-056-02</t>
  </si>
  <si>
    <t>2024-07-13T08:59:00</t>
  </si>
  <si>
    <t>PH-PRJ-056-03</t>
  </si>
  <si>
    <t>2024-12-04T09:40:00</t>
  </si>
  <si>
    <t>PH-PRJ-056-04</t>
  </si>
  <si>
    <t>2025-05-25T07:40:00</t>
  </si>
  <si>
    <t>PH-PRJ-056-05</t>
  </si>
  <si>
    <t>2025-12-27T08:29:00</t>
  </si>
  <si>
    <t>PH-PRJ-056-06</t>
  </si>
  <si>
    <t>2026-12-22T16:07:00</t>
  </si>
  <si>
    <t>PH-PRJ-056-07</t>
  </si>
  <si>
    <t>2027-05-15T08:09:00</t>
  </si>
  <si>
    <t>PH-PRJ-056-08</t>
  </si>
  <si>
    <t>2027-09-07T11:16:00</t>
  </si>
  <si>
    <t>PH-PRJ-056-09</t>
  </si>
  <si>
    <t>2028-01-29T09:05:00</t>
  </si>
  <si>
    <t>PH-PRJ-056-10</t>
  </si>
  <si>
    <t>2028-03-12T08:31:00</t>
  </si>
  <si>
    <t>PH-PRJ-057-01</t>
  </si>
  <si>
    <t>PRJ-057</t>
  </si>
  <si>
    <t>2023-09-02T12:58:00</t>
  </si>
  <si>
    <t>PH-PRJ-057-02</t>
  </si>
  <si>
    <t>2023-10-06T10:25:00</t>
  </si>
  <si>
    <t>PH-PRJ-057-03</t>
  </si>
  <si>
    <t>2023-12-14T08:31:00</t>
  </si>
  <si>
    <t>PH-PRJ-057-04</t>
  </si>
  <si>
    <t>2024-03-05T07:26:00</t>
  </si>
  <si>
    <t>PH-PRJ-057-05</t>
  </si>
  <si>
    <t>2024-06-16T08:31:00</t>
  </si>
  <si>
    <t>PH-PRJ-057-06</t>
  </si>
  <si>
    <t>2024-12-05T17:04:00</t>
  </si>
  <si>
    <t>PH-PRJ-057-07</t>
  </si>
  <si>
    <t>2025-02-12T10:43:00</t>
  </si>
  <si>
    <t>PH-PRJ-057-08</t>
  </si>
  <si>
    <t>2025-04-08T13:24:00</t>
  </si>
  <si>
    <t>PH-PRJ-057-09</t>
  </si>
  <si>
    <t>2025-06-16T12:40:00</t>
  </si>
  <si>
    <t>PH-PRJ-057-10</t>
  </si>
  <si>
    <t>2025-07-06T14:51:00</t>
  </si>
  <si>
    <t>PH-PRJ-058-01</t>
  </si>
  <si>
    <t>PRJ-058</t>
  </si>
  <si>
    <t>2023-05-11T09:11:00</t>
  </si>
  <si>
    <t>PH-PRJ-058-02</t>
  </si>
  <si>
    <t>2023-05-30T11:00:00</t>
  </si>
  <si>
    <t>PH-PRJ-058-03</t>
  </si>
  <si>
    <t>2023-07-08T09:42:00</t>
  </si>
  <si>
    <t>PH-PRJ-058-04</t>
  </si>
  <si>
    <t>2023-08-23T16:40:00</t>
  </si>
  <si>
    <t>PH-PRJ-058-05</t>
  </si>
  <si>
    <t>2023-10-20T16:54:00</t>
  </si>
  <si>
    <t>PH-PRJ-058-06</t>
  </si>
  <si>
    <t>2024-01-25T07:07:00</t>
  </si>
  <si>
    <t>PH-PRJ-058-07</t>
  </si>
  <si>
    <t>2024-03-04T12:22:00</t>
  </si>
  <si>
    <t>PH-PRJ-058-08</t>
  </si>
  <si>
    <t>2024-04-04T14:39:00</t>
  </si>
  <si>
    <t>PH-PRJ-058-09</t>
  </si>
  <si>
    <t>2024-05-13T16:34:00</t>
  </si>
  <si>
    <t>PH-PRJ-058-10</t>
  </si>
  <si>
    <t>2024-05-24T07:10:00</t>
  </si>
  <si>
    <t>PH-PRJ-059-01</t>
  </si>
  <si>
    <t>PRJ-059</t>
  </si>
  <si>
    <t>2020-08-25T15:47:00</t>
  </si>
  <si>
    <t>PH-PRJ-059-02</t>
  </si>
  <si>
    <t>2020-09-22T11:59:00</t>
  </si>
  <si>
    <t>PH-PRJ-059-03</t>
  </si>
  <si>
    <t>2020-11-18T08:12:00</t>
  </si>
  <si>
    <t>PH-PRJ-059-04</t>
  </si>
  <si>
    <t>2021-01-25T16:01:00</t>
  </si>
  <si>
    <t>PH-PRJ-059-05</t>
  </si>
  <si>
    <t>2021-04-20T15:01:00</t>
  </si>
  <si>
    <t>PH-PRJ-059-06</t>
  </si>
  <si>
    <t>2021-09-09T15:32:00</t>
  </si>
  <si>
    <t>PH-PRJ-059-07</t>
  </si>
  <si>
    <t>2021-11-05T09:13:00</t>
  </si>
  <si>
    <t>PH-PRJ-059-08</t>
  </si>
  <si>
    <t>2021-12-20T12:07:00</t>
  </si>
  <si>
    <t>PH-PRJ-059-09</t>
  </si>
  <si>
    <t>2022-02-15T10:01:00</t>
  </si>
  <si>
    <t>PH-PRJ-059-10</t>
  </si>
  <si>
    <t>2022-03-04T12:08:00</t>
  </si>
  <si>
    <t>PH-PRJ-060-01</t>
  </si>
  <si>
    <t>PRJ-060</t>
  </si>
  <si>
    <t>2024-02-06T10:05:00</t>
  </si>
  <si>
    <t>PH-PRJ-060-02</t>
  </si>
  <si>
    <t>2024-04-13T09:17:00</t>
  </si>
  <si>
    <t>PH-PRJ-060-03</t>
  </si>
  <si>
    <t>2024-08-26T11:30:00</t>
  </si>
  <si>
    <t>PH-PRJ-060-04</t>
  </si>
  <si>
    <t>2025-02-04T10:05:00</t>
  </si>
  <si>
    <t>PH-PRJ-060-05</t>
  </si>
  <si>
    <t>2025-08-25T15:41:00</t>
  </si>
  <si>
    <t>PH-PRJ-060-06</t>
  </si>
  <si>
    <t>2026-07-28T11:29:00</t>
  </si>
  <si>
    <t>PH-PRJ-060-07</t>
  </si>
  <si>
    <t>2026-12-10T14:27:00</t>
  </si>
  <si>
    <t>PH-PRJ-060-08</t>
  </si>
  <si>
    <t>2027-03-28T15:25:00</t>
  </si>
  <si>
    <t>PH-PRJ-060-09</t>
  </si>
  <si>
    <t>2027-08-10T10:16:00</t>
  </si>
  <si>
    <t>PH-PRJ-060-10</t>
  </si>
  <si>
    <t>2027-09-19T09:12:00</t>
  </si>
  <si>
    <t>PH-PRJ-061-01</t>
  </si>
  <si>
    <t>PRJ-061</t>
  </si>
  <si>
    <t>2020-12-07T17:54:00</t>
  </si>
  <si>
    <t>PH-PRJ-061-02</t>
  </si>
  <si>
    <t>2021-02-14T11:25:00</t>
  </si>
  <si>
    <t>PH-PRJ-061-03</t>
  </si>
  <si>
    <t>2021-07-02T08:37:00</t>
  </si>
  <si>
    <t>PH-PRJ-061-04</t>
  </si>
  <si>
    <t>2021-12-14T16:19:00</t>
  </si>
  <si>
    <t>PH-PRJ-061-05</t>
  </si>
  <si>
    <t>2022-07-09T09:50:00</t>
  </si>
  <si>
    <t>PH-PRJ-061-06</t>
  </si>
  <si>
    <t>2023-06-19T10:46:00</t>
  </si>
  <si>
    <t>PH-PRJ-061-07</t>
  </si>
  <si>
    <t>2023-11-04T14:27:00</t>
  </si>
  <si>
    <t>PH-PRJ-061-08</t>
  </si>
  <si>
    <t>2024-02-22T14:27:00</t>
  </si>
  <si>
    <t>PH-PRJ-061-09</t>
  </si>
  <si>
    <t>2024-07-09T16:47:00</t>
  </si>
  <si>
    <t>PH-PRJ-061-10</t>
  </si>
  <si>
    <t>2024-08-19T11:52:00</t>
  </si>
  <si>
    <t>PH-PRJ-062-01</t>
  </si>
  <si>
    <t>PRJ-062</t>
  </si>
  <si>
    <t>2025-05-01T12:39:00</t>
  </si>
  <si>
    <t>PH-PRJ-062-02</t>
  </si>
  <si>
    <t>2025-06-22T08:38:00</t>
  </si>
  <si>
    <t>PH-PRJ-062-03</t>
  </si>
  <si>
    <t>2025-10-05T13:27:00</t>
  </si>
  <si>
    <t>PH-PRJ-062-04</t>
  </si>
  <si>
    <t>2026-02-08T16:22:00</t>
  </si>
  <si>
    <t>PH-PRJ-062-05</t>
  </si>
  <si>
    <t>2026-07-15T12:57:00</t>
  </si>
  <si>
    <t>PH-PRJ-062-06</t>
  </si>
  <si>
    <t>2027-04-03T17:52:00</t>
  </si>
  <si>
    <t>PH-PRJ-062-07</t>
  </si>
  <si>
    <t>2027-07-17T08:28:00</t>
  </si>
  <si>
    <t>PH-PRJ-062-08</t>
  </si>
  <si>
    <t>2027-10-09T09:56:00</t>
  </si>
  <si>
    <t>PH-PRJ-062-09</t>
  </si>
  <si>
    <t>2028-01-22T07:32:00</t>
  </si>
  <si>
    <t>PH-PRJ-062-10</t>
  </si>
  <si>
    <t>2028-02-22T11:37:00</t>
  </si>
  <si>
    <t>PH-PRJ-063-01</t>
  </si>
  <si>
    <t>PRJ-063</t>
  </si>
  <si>
    <t>2025-04-06T13:18:00</t>
  </si>
  <si>
    <t>PH-PRJ-063-02</t>
  </si>
  <si>
    <t>2025-06-15T16:52:00</t>
  </si>
  <si>
    <t>PH-PRJ-063-03</t>
  </si>
  <si>
    <t>2025-11-03T12:25:00</t>
  </si>
  <si>
    <t>PH-PRJ-063-04</t>
  </si>
  <si>
    <t>2026-04-21T07:07:00</t>
  </si>
  <si>
    <t>PH-PRJ-063-05</t>
  </si>
  <si>
    <t>2026-11-18T09:51:00</t>
  </si>
  <si>
    <t>PH-PRJ-063-06</t>
  </si>
  <si>
    <t>2027-11-05T12:27:00</t>
  </si>
  <si>
    <t>PH-PRJ-063-07</t>
  </si>
  <si>
    <t>2028-03-25T09:22:00</t>
  </si>
  <si>
    <t>PH-PRJ-063-08</t>
  </si>
  <si>
    <t>2028-07-15T10:04:00</t>
  </si>
  <si>
    <t>PH-PRJ-063-09</t>
  </si>
  <si>
    <t>2028-12-03T10:42:00</t>
  </si>
  <si>
    <t>PH-PRJ-063-10</t>
  </si>
  <si>
    <t>2029-01-14T12:23:00</t>
  </si>
  <si>
    <t>PH-PRJ-064-01</t>
  </si>
  <si>
    <t>PRJ-064</t>
  </si>
  <si>
    <t>2024-05-18T09:49:00</t>
  </si>
  <si>
    <t>PH-PRJ-064-02</t>
  </si>
  <si>
    <t>2024-06-26T12:07:00</t>
  </si>
  <si>
    <t>PH-PRJ-064-03</t>
  </si>
  <si>
    <t>2024-09-12T07:20:00</t>
  </si>
  <si>
    <t>PH-PRJ-064-04</t>
  </si>
  <si>
    <t>2024-12-14T07:45:00</t>
  </si>
  <si>
    <t>PH-PRJ-064-05</t>
  </si>
  <si>
    <t>2025-04-10T12:13:00</t>
  </si>
  <si>
    <t>PH-PRJ-064-06</t>
  </si>
  <si>
    <t>2025-10-22T14:36:00</t>
  </si>
  <si>
    <t>PH-PRJ-064-07</t>
  </si>
  <si>
    <t>2026-01-08T10:35:00</t>
  </si>
  <si>
    <t>PH-PRJ-064-08</t>
  </si>
  <si>
    <t>2026-03-11T08:24:00</t>
  </si>
  <si>
    <t>PH-PRJ-064-09</t>
  </si>
  <si>
    <t>2026-05-28T11:38:00</t>
  </si>
  <si>
    <t>PH-PRJ-064-10</t>
  </si>
  <si>
    <t>2026-06-20T10:33:00</t>
  </si>
  <si>
    <t>PH-PRJ-065-01</t>
  </si>
  <si>
    <t>PRJ-065</t>
  </si>
  <si>
    <t>2020-09-06T10:06:00</t>
  </si>
  <si>
    <t>PH-PRJ-065-02</t>
  </si>
  <si>
    <t>2020-10-01T15:17:00</t>
  </si>
  <si>
    <t>PH-PRJ-065-03</t>
  </si>
  <si>
    <t>2020-11-21T16:56:00</t>
  </si>
  <si>
    <t>PH-PRJ-065-04</t>
  </si>
  <si>
    <t>2021-01-21T17:04:00</t>
  </si>
  <si>
    <t>PH-PRJ-065-05</t>
  </si>
  <si>
    <t>2021-04-07T16:57:00</t>
  </si>
  <si>
    <t>PH-PRJ-065-06</t>
  </si>
  <si>
    <t>2021-08-12T17:26:00</t>
  </si>
  <si>
    <t>PH-PRJ-065-07</t>
  </si>
  <si>
    <t>2021-10-02T17:48:00</t>
  </si>
  <si>
    <t>PH-PRJ-065-08</t>
  </si>
  <si>
    <t>2021-11-11T13:20:00</t>
  </si>
  <si>
    <t>PH-PRJ-065-09</t>
  </si>
  <si>
    <t>2022-01-01T12:12:00</t>
  </si>
  <si>
    <t>PH-PRJ-065-10</t>
  </si>
  <si>
    <t>2022-01-16T10:03:00</t>
  </si>
  <si>
    <t>PH-PRJ-066-01</t>
  </si>
  <si>
    <t>PRJ-066</t>
  </si>
  <si>
    <t>2022-04-17T14:31:00</t>
  </si>
  <si>
    <t>PH-PRJ-066-02</t>
  </si>
  <si>
    <t>2022-06-23T07:17:00</t>
  </si>
  <si>
    <t>PH-PRJ-066-03</t>
  </si>
  <si>
    <t>2022-11-05T13:07:00</t>
  </si>
  <si>
    <t>PH-PRJ-066-04</t>
  </si>
  <si>
    <t>2023-04-16T08:28:00</t>
  </si>
  <si>
    <t>PH-PRJ-066-05</t>
  </si>
  <si>
    <t>2023-11-04T09:38:00</t>
  </si>
  <si>
    <t>PH-PRJ-066-06</t>
  </si>
  <si>
    <t>2024-10-06T12:37:00</t>
  </si>
  <si>
    <t>PH-PRJ-066-07</t>
  </si>
  <si>
    <t>2025-02-18T13:15:00</t>
  </si>
  <si>
    <t>PH-PRJ-066-08</t>
  </si>
  <si>
    <t>2025-06-06T16:01:00</t>
  </si>
  <si>
    <t>PH-PRJ-066-09</t>
  </si>
  <si>
    <t>2025-10-19T11:01:00</t>
  </si>
  <si>
    <t>PH-PRJ-066-10</t>
  </si>
  <si>
    <t>2025-11-28T17:50:00</t>
  </si>
  <si>
    <t>PH-PRJ-067-01</t>
  </si>
  <si>
    <t>PRJ-067</t>
  </si>
  <si>
    <t>2025-05-08T16:00:00</t>
  </si>
  <si>
    <t>PH-PRJ-067-02</t>
  </si>
  <si>
    <t>2025-05-29T14:18:00</t>
  </si>
  <si>
    <t>PH-PRJ-067-03</t>
  </si>
  <si>
    <t>2025-07-10T09:53:00</t>
  </si>
  <si>
    <t>PH-PRJ-067-04</t>
  </si>
  <si>
    <t>2025-08-29T13:02:00</t>
  </si>
  <si>
    <t>PH-PRJ-067-05</t>
  </si>
  <si>
    <t>2025-10-31T15:58:00</t>
  </si>
  <si>
    <t>PH-PRJ-067-06</t>
  </si>
  <si>
    <t>2026-02-13T07:21:00</t>
  </si>
  <si>
    <t>PH-PRJ-067-07</t>
  </si>
  <si>
    <t>2026-03-27T17:01:00</t>
  </si>
  <si>
    <t>PH-PRJ-067-08</t>
  </si>
  <si>
    <t>2026-04-29T08:30:00</t>
  </si>
  <si>
    <t>PH-PRJ-067-09</t>
  </si>
  <si>
    <t>2026-06-10T08:53:00</t>
  </si>
  <si>
    <t>PH-PRJ-067-10</t>
  </si>
  <si>
    <t>2026-06-22T13:46:00</t>
  </si>
  <si>
    <t>PH-PRJ-068-01</t>
  </si>
  <si>
    <t>PRJ-068</t>
  </si>
  <si>
    <t>2022-05-11T11:17:00</t>
  </si>
  <si>
    <t>PH-PRJ-068-02</t>
  </si>
  <si>
    <t>2022-07-05T12:48:00</t>
  </si>
  <si>
    <t>PH-PRJ-068-03</t>
  </si>
  <si>
    <t>2022-10-24T12:25:00</t>
  </si>
  <si>
    <t>PH-PRJ-068-04</t>
  </si>
  <si>
    <t>2023-03-06T08:35:00</t>
  </si>
  <si>
    <t>PH-PRJ-068-05</t>
  </si>
  <si>
    <t>2023-08-19T12:31:00</t>
  </si>
  <si>
    <t>PH-PRJ-068-06</t>
  </si>
  <si>
    <t>2024-05-22T16:03:00</t>
  </si>
  <si>
    <t>PH-PRJ-068-07</t>
  </si>
  <si>
    <t>2024-09-10T13:19:00</t>
  </si>
  <si>
    <t>PH-PRJ-068-08</t>
  </si>
  <si>
    <t>2024-12-07T14:31:00</t>
  </si>
  <si>
    <t>PH-PRJ-068-09</t>
  </si>
  <si>
    <t>2025-03-28T17:58:00</t>
  </si>
  <si>
    <t>PH-PRJ-068-10</t>
  </si>
  <si>
    <t>2025-04-30T08:53:00</t>
  </si>
  <si>
    <t>PH-PRJ-069-01</t>
  </si>
  <si>
    <t>PRJ-069</t>
  </si>
  <si>
    <t>2025-05-26T12:39:00</t>
  </si>
  <si>
    <t>PH-PRJ-069-02</t>
  </si>
  <si>
    <t>2025-07-08T08:01:00</t>
  </si>
  <si>
    <t>PH-PRJ-069-03</t>
  </si>
  <si>
    <t>2025-10-03T10:03:00</t>
  </si>
  <si>
    <t>PH-PRJ-069-04</t>
  </si>
  <si>
    <t>2026-01-15T09:06:00</t>
  </si>
  <si>
    <t>PH-PRJ-069-05</t>
  </si>
  <si>
    <t>2026-05-25T12:55:00</t>
  </si>
  <si>
    <t>PH-PRJ-069-06</t>
  </si>
  <si>
    <t>2026-12-28T13:14:00</t>
  </si>
  <si>
    <t>PH-PRJ-069-07</t>
  </si>
  <si>
    <t>2027-03-25T09:05:00</t>
  </si>
  <si>
    <t>PH-PRJ-069-08</t>
  </si>
  <si>
    <t>2027-06-02T10:46:00</t>
  </si>
  <si>
    <t>PH-PRJ-069-09</t>
  </si>
  <si>
    <t>2027-08-28T12:52:00</t>
  </si>
  <si>
    <t>PH-PRJ-069-10</t>
  </si>
  <si>
    <t>2027-09-23T15:00:00</t>
  </si>
  <si>
    <t>PH-PRJ-070-01</t>
  </si>
  <si>
    <t>PRJ-070</t>
  </si>
  <si>
    <t>2023-05-25T07:16:00</t>
  </si>
  <si>
    <t>PH-PRJ-070-02</t>
  </si>
  <si>
    <t>2023-06-22T07:07:00</t>
  </si>
  <si>
    <t>PH-PRJ-070-03</t>
  </si>
  <si>
    <t>2023-08-18T07:19:00</t>
  </si>
  <si>
    <t>PH-PRJ-070-04</t>
  </si>
  <si>
    <t>2023-10-25T08:16:00</t>
  </si>
  <si>
    <t>PH-PRJ-070-05</t>
  </si>
  <si>
    <t>2024-01-18T12:44:00</t>
  </si>
  <si>
    <t>PH-PRJ-070-06</t>
  </si>
  <si>
    <t>2024-06-08T16:50:00</t>
  </si>
  <si>
    <t>PH-PRJ-070-07</t>
  </si>
  <si>
    <t>2024-08-04T13:17:00</t>
  </si>
  <si>
    <t>PH-PRJ-070-08</t>
  </si>
  <si>
    <t>2024-09-18T09:59:00</t>
  </si>
  <si>
    <t>PH-PRJ-070-09</t>
  </si>
  <si>
    <t>2024-11-14T09:37:00</t>
  </si>
  <si>
    <t>PH-PRJ-070-10</t>
  </si>
  <si>
    <t>2024-12-01T14:07:00</t>
  </si>
  <si>
    <t>PH-PRJ-071-01</t>
  </si>
  <si>
    <t>PRJ-071</t>
  </si>
  <si>
    <t>2024-07-07T09:20:00</t>
  </si>
  <si>
    <t>PH-PRJ-071-02</t>
  </si>
  <si>
    <t>2024-09-06T09:48:00</t>
  </si>
  <si>
    <t>PH-PRJ-071-03</t>
  </si>
  <si>
    <t>2025-01-07T16:56:00</t>
  </si>
  <si>
    <t>PH-PRJ-071-04</t>
  </si>
  <si>
    <t>2025-06-03T13:40:00</t>
  </si>
  <si>
    <t>PH-PRJ-071-05</t>
  </si>
  <si>
    <t>2025-12-04T17:07:00</t>
  </si>
  <si>
    <t>PH-PRJ-071-06</t>
  </si>
  <si>
    <t>2026-10-07T15:33:00</t>
  </si>
  <si>
    <t>PH-PRJ-071-07</t>
  </si>
  <si>
    <t>2027-02-07T10:36:00</t>
  </si>
  <si>
    <t>PH-PRJ-071-08</t>
  </si>
  <si>
    <t>2027-05-16T14:42:00</t>
  </si>
  <si>
    <t>PH-PRJ-071-09</t>
  </si>
  <si>
    <t>2027-09-16T14:17:00</t>
  </si>
  <si>
    <t>PH-PRJ-071-10</t>
  </si>
  <si>
    <t>2027-10-22T12:49:00</t>
  </si>
  <si>
    <t>PH-PRJ-072-01</t>
  </si>
  <si>
    <t>PRJ-072</t>
  </si>
  <si>
    <t>2021-05-25T14:14:00</t>
  </si>
  <si>
    <t>PH-PRJ-072-02</t>
  </si>
  <si>
    <t>2021-08-02T08:16:00</t>
  </si>
  <si>
    <t>PH-PRJ-072-03</t>
  </si>
  <si>
    <t>2021-12-18T11:45:00</t>
  </si>
  <si>
    <t>PH-PRJ-072-04</t>
  </si>
  <si>
    <t>2022-06-01T08:22:00</t>
  </si>
  <si>
    <t>PH-PRJ-072-05</t>
  </si>
  <si>
    <t>2022-12-25T15:53:00</t>
  </si>
  <si>
    <t>PH-PRJ-072-06</t>
  </si>
  <si>
    <t>2023-12-05T10:42:00</t>
  </si>
  <si>
    <t>PH-PRJ-072-07</t>
  </si>
  <si>
    <t>2024-04-21T17:47:00</t>
  </si>
  <si>
    <t>PH-PRJ-072-08</t>
  </si>
  <si>
    <t>2024-08-09T10:44:00</t>
  </si>
  <si>
    <t>PH-PRJ-072-09</t>
  </si>
  <si>
    <t>2024-12-25T08:04:00</t>
  </si>
  <si>
    <t>PH-PRJ-072-10</t>
  </si>
  <si>
    <t>2025-02-04T14:03:00</t>
  </si>
  <si>
    <t>PH-PRJ-073-01</t>
  </si>
  <si>
    <t>PRJ-073</t>
  </si>
  <si>
    <t>2024-12-06T10:00:00</t>
  </si>
  <si>
    <t>PH-PRJ-073-02</t>
  </si>
  <si>
    <t>2025-01-26T17:13:00</t>
  </si>
  <si>
    <t>PH-PRJ-073-03</t>
  </si>
  <si>
    <t>2025-05-08T14:52:00</t>
  </si>
  <si>
    <t>PH-PRJ-073-04</t>
  </si>
  <si>
    <t>2025-09-07T13:12:00</t>
  </si>
  <si>
    <t>PH-PRJ-073-05</t>
  </si>
  <si>
    <t>2026-02-07T08:21:00</t>
  </si>
  <si>
    <t>PH-PRJ-073-06</t>
  </si>
  <si>
    <t>2026-10-20T10:52:00</t>
  </si>
  <si>
    <t>PH-PRJ-073-07</t>
  </si>
  <si>
    <t>2027-01-30T16:48:00</t>
  </si>
  <si>
    <t>PH-PRJ-073-08</t>
  </si>
  <si>
    <t>2027-04-21T15:32:00</t>
  </si>
  <si>
    <t>PH-PRJ-073-09</t>
  </si>
  <si>
    <t>2027-08-01T12:48:00</t>
  </si>
  <si>
    <t>PH-PRJ-073-10</t>
  </si>
  <si>
    <t>2027-08-31T11:45:00</t>
  </si>
  <si>
    <t>PH-PRJ-074-01</t>
  </si>
  <si>
    <t>PRJ-074</t>
  </si>
  <si>
    <t>2024-12-13T14:41:00</t>
  </si>
  <si>
    <t>PH-PRJ-074-02</t>
  </si>
  <si>
    <t>2025-01-22T09:54:00</t>
  </si>
  <si>
    <t>PH-PRJ-074-03</t>
  </si>
  <si>
    <t>2025-04-13T15:06:00</t>
  </si>
  <si>
    <t>PH-PRJ-074-04</t>
  </si>
  <si>
    <t>2025-07-19T09:14:00</t>
  </si>
  <si>
    <t>PH-PRJ-074-05</t>
  </si>
  <si>
    <t>2025-11-17T13:28:00</t>
  </si>
  <si>
    <t>PH-PRJ-074-06</t>
  </si>
  <si>
    <t>2026-06-07T16:32:00</t>
  </si>
  <si>
    <t>PH-PRJ-074-07</t>
  </si>
  <si>
    <t>2026-08-27T10:49:00</t>
  </si>
  <si>
    <t>PH-PRJ-074-08</t>
  </si>
  <si>
    <t>2026-10-30T13:12:00</t>
  </si>
  <si>
    <t>PH-PRJ-074-09</t>
  </si>
  <si>
    <t>2027-01-19T08:17:00</t>
  </si>
  <si>
    <t>PH-PRJ-074-10</t>
  </si>
  <si>
    <t>2027-02-12T13:10:00</t>
  </si>
  <si>
    <t>PH-PRJ-075-01</t>
  </si>
  <si>
    <t>PRJ-075</t>
  </si>
  <si>
    <t>2020-05-12T17:19:00</t>
  </si>
  <si>
    <t>PH-PRJ-075-02</t>
  </si>
  <si>
    <t>2020-07-15T16:41:00</t>
  </si>
  <si>
    <t>PH-PRJ-075-03</t>
  </si>
  <si>
    <t>2020-11-21T08:09:00</t>
  </si>
  <si>
    <t>PH-PRJ-075-04</t>
  </si>
  <si>
    <t>2021-04-24T14:56:00</t>
  </si>
  <si>
    <t>PH-PRJ-075-05</t>
  </si>
  <si>
    <t>2021-11-03T08:47:00</t>
  </si>
  <si>
    <t>PH-PRJ-075-06</t>
  </si>
  <si>
    <t>2022-09-21T08:15:00</t>
  </si>
  <si>
    <t>PH-PRJ-075-07</t>
  </si>
  <si>
    <t>2023-01-28T07:57:00</t>
  </si>
  <si>
    <t>PH-PRJ-075-08</t>
  </si>
  <si>
    <t>2023-05-11T14:11:00</t>
  </si>
  <si>
    <t>PH-PRJ-075-09</t>
  </si>
  <si>
    <t>2023-09-17T11:01:00</t>
  </si>
  <si>
    <t>PH-PRJ-075-10</t>
  </si>
  <si>
    <t>2023-10-25T14:42:00</t>
  </si>
  <si>
    <t>PH-PRJ-076-01</t>
  </si>
  <si>
    <t>PRJ-076</t>
  </si>
  <si>
    <t>2022-02-06T15:28:00</t>
  </si>
  <si>
    <t>PH-PRJ-076-02</t>
  </si>
  <si>
    <t>2022-04-05T12:16:00</t>
  </si>
  <si>
    <t>PH-PRJ-076-03</t>
  </si>
  <si>
    <t>2022-07-31T08:59:00</t>
  </si>
  <si>
    <t>PH-PRJ-076-04</t>
  </si>
  <si>
    <t>2022-12-18T15:05:00</t>
  </si>
  <si>
    <t>PH-PRJ-076-05</t>
  </si>
  <si>
    <t>2023-06-11T12:27:00</t>
  </si>
  <si>
    <t>PH-PRJ-076-06</t>
  </si>
  <si>
    <t>2024-03-29T10:09:00</t>
  </si>
  <si>
    <t>PH-PRJ-076-07</t>
  </si>
  <si>
    <t>2024-07-24T13:32:00</t>
  </si>
  <si>
    <t>PH-PRJ-076-08</t>
  </si>
  <si>
    <t>2024-10-25T13:32:00</t>
  </si>
  <si>
    <t>PH-PRJ-076-09</t>
  </si>
  <si>
    <t>2025-02-19T12:03:00</t>
  </si>
  <si>
    <t>PH-PRJ-076-10</t>
  </si>
  <si>
    <t>2025-03-26T14:17:00</t>
  </si>
  <si>
    <t>PH-PRJ-077-01</t>
  </si>
  <si>
    <t>PRJ-077</t>
  </si>
  <si>
    <t>2022-02-24T12:06:00</t>
  </si>
  <si>
    <t>PH-PRJ-077-02</t>
  </si>
  <si>
    <t>2022-03-14T07:41:00</t>
  </si>
  <si>
    <t>PH-PRJ-077-03</t>
  </si>
  <si>
    <t>2022-04-19T13:46:00</t>
  </si>
  <si>
    <t>PH-PRJ-077-04</t>
  </si>
  <si>
    <t>2022-06-01T13:12:00</t>
  </si>
  <si>
    <t>PH-PRJ-077-05</t>
  </si>
  <si>
    <t>2022-07-25T11:12:00</t>
  </si>
  <si>
    <t>PH-PRJ-077-06</t>
  </si>
  <si>
    <t>2022-10-23T13:11:00</t>
  </si>
  <si>
    <t>PH-PRJ-077-07</t>
  </si>
  <si>
    <t>2022-11-28T16:17:00</t>
  </si>
  <si>
    <t>PH-PRJ-077-08</t>
  </si>
  <si>
    <t>2022-12-26T15:38:00</t>
  </si>
  <si>
    <t>PH-PRJ-077-09</t>
  </si>
  <si>
    <t>2023-01-31T14:33:00</t>
  </si>
  <si>
    <t>PH-PRJ-077-10</t>
  </si>
  <si>
    <t>2023-02-10T13:06:00</t>
  </si>
  <si>
    <t>PH-PRJ-078-01</t>
  </si>
  <si>
    <t>PRJ-078</t>
  </si>
  <si>
    <t>2021-10-07T17:03:00</t>
  </si>
  <si>
    <t>PH-PRJ-078-02</t>
  </si>
  <si>
    <t>2021-11-25T17:15:00</t>
  </si>
  <si>
    <t>PH-PRJ-078-03</t>
  </si>
  <si>
    <t>2022-03-04T08:14:00</t>
  </si>
  <si>
    <t>PH-PRJ-078-04</t>
  </si>
  <si>
    <t>2022-06-30T08:03:00</t>
  </si>
  <si>
    <t>PH-PRJ-078-05</t>
  </si>
  <si>
    <t>2022-11-25T07:36:00</t>
  </si>
  <si>
    <t>PH-PRJ-078-06</t>
  </si>
  <si>
    <t>2023-07-30T11:15:00</t>
  </si>
  <si>
    <t>PH-PRJ-078-07</t>
  </si>
  <si>
    <t>2023-11-06T08:34:00</t>
  </si>
  <si>
    <t>PH-PRJ-078-08</t>
  </si>
  <si>
    <t>2024-01-24T08:17:00</t>
  </si>
  <si>
    <t>PH-PRJ-078-09</t>
  </si>
  <si>
    <t>2024-05-02T10:56:00</t>
  </si>
  <si>
    <t>PH-PRJ-078-10</t>
  </si>
  <si>
    <t>2024-05-31T16:44:00</t>
  </si>
  <si>
    <t>PH-PRJ-079-01</t>
  </si>
  <si>
    <t>PRJ-079</t>
  </si>
  <si>
    <t>2021-06-30T13:25:00</t>
  </si>
  <si>
    <t>PH-PRJ-079-02</t>
  </si>
  <si>
    <t>2021-08-08T13:06:00</t>
  </si>
  <si>
    <t>PH-PRJ-079-03</t>
  </si>
  <si>
    <t>2021-10-25T10:46:00</t>
  </si>
  <si>
    <t>PH-PRJ-079-04</t>
  </si>
  <si>
    <t>2022-01-26T11:31:00</t>
  </si>
  <si>
    <t>PH-PRJ-079-05</t>
  </si>
  <si>
    <t>2022-05-23T10:10:00</t>
  </si>
  <si>
    <t>PH-PRJ-079-06</t>
  </si>
  <si>
    <t>2022-12-04T10:22:00</t>
  </si>
  <si>
    <t>PH-PRJ-079-07</t>
  </si>
  <si>
    <t>2023-02-20T17:18:00</t>
  </si>
  <si>
    <t>PH-PRJ-079-08</t>
  </si>
  <si>
    <t>2023-04-23T16:18:00</t>
  </si>
  <si>
    <t>PH-PRJ-079-09</t>
  </si>
  <si>
    <t>2023-07-10T07:06:00</t>
  </si>
  <si>
    <t>PH-PRJ-079-10</t>
  </si>
  <si>
    <t>2023-08-02T09:32:00</t>
  </si>
  <si>
    <t>PH-PRJ-080-01</t>
  </si>
  <si>
    <t>PRJ-080</t>
  </si>
  <si>
    <t>2022-06-25T16:30:00</t>
  </si>
  <si>
    <t>PH-PRJ-080-02</t>
  </si>
  <si>
    <t>2022-08-28T11:54:00</t>
  </si>
  <si>
    <t>PH-PRJ-080-03</t>
  </si>
  <si>
    <t>2023-01-04T10:10:00</t>
  </si>
  <si>
    <t>PH-PRJ-080-04</t>
  </si>
  <si>
    <t>2023-06-07T12:43:00</t>
  </si>
  <si>
    <t>PH-PRJ-080-05</t>
  </si>
  <si>
    <t>2023-12-17T08:10:00</t>
  </si>
  <si>
    <t>PH-PRJ-080-06</t>
  </si>
  <si>
    <t>2024-11-03T09:21:00</t>
  </si>
  <si>
    <t>PH-PRJ-080-07</t>
  </si>
  <si>
    <t>2025-03-12T14:09:00</t>
  </si>
  <si>
    <t>PH-PRJ-080-08</t>
  </si>
  <si>
    <t>2025-06-23T07:42:00</t>
  </si>
  <si>
    <t>PH-PRJ-080-09</t>
  </si>
  <si>
    <t>2025-10-30T14:27:00</t>
  </si>
  <si>
    <t>PH-PRJ-080-10</t>
  </si>
  <si>
    <t>2025-12-07T12:01:00</t>
  </si>
  <si>
    <t>PH-PRJ-081-01</t>
  </si>
  <si>
    <t>PRJ-081</t>
  </si>
  <si>
    <t>2024-09-23T09:16:00</t>
  </si>
  <si>
    <t>PH-PRJ-081-02</t>
  </si>
  <si>
    <t>2024-10-26T08:10:00</t>
  </si>
  <si>
    <t>PH-PRJ-081-03</t>
  </si>
  <si>
    <t>2024-12-31T17:48:00</t>
  </si>
  <si>
    <t>PH-PRJ-081-04</t>
  </si>
  <si>
    <t>2025-03-20T07:38:00</t>
  </si>
  <si>
    <t>PH-PRJ-081-05</t>
  </si>
  <si>
    <t>2025-06-27T12:30:00</t>
  </si>
  <si>
    <t>PH-PRJ-081-06</t>
  </si>
  <si>
    <t>2025-12-09T16:00:00</t>
  </si>
  <si>
    <t>PH-PRJ-081-07</t>
  </si>
  <si>
    <t>2026-02-13T10:30:00</t>
  </si>
  <si>
    <t>PH-PRJ-081-08</t>
  </si>
  <si>
    <t>2026-04-06T08:02:00</t>
  </si>
  <si>
    <t>PH-PRJ-081-09</t>
  </si>
  <si>
    <t>2026-06-11T07:36:00</t>
  </si>
  <si>
    <t>PH-PRJ-081-10</t>
  </si>
  <si>
    <t>2026-06-30T17:18:00</t>
  </si>
  <si>
    <t>PH-PRJ-082-01</t>
  </si>
  <si>
    <t>PRJ-082</t>
  </si>
  <si>
    <t>2024-04-04T10:33:00</t>
  </si>
  <si>
    <t>PH-PRJ-082-02</t>
  </si>
  <si>
    <t>2024-05-02T15:10:00</t>
  </si>
  <si>
    <t>PH-PRJ-082-03</t>
  </si>
  <si>
    <t>2024-06-28T09:49:00</t>
  </si>
  <si>
    <t>PH-PRJ-082-04</t>
  </si>
  <si>
    <t>2024-09-04T08:06:00</t>
  </si>
  <si>
    <t>PH-PRJ-082-05</t>
  </si>
  <si>
    <t>2024-11-28T11:51:00</t>
  </si>
  <si>
    <t>PH-PRJ-082-06</t>
  </si>
  <si>
    <t>2025-04-19T12:28:00</t>
  </si>
  <si>
    <t>PH-PRJ-082-07</t>
  </si>
  <si>
    <t>2025-06-15T14:47:00</t>
  </si>
  <si>
    <t>PH-PRJ-082-08</t>
  </si>
  <si>
    <t>2025-07-30T12:34:00</t>
  </si>
  <si>
    <t>PH-PRJ-082-09</t>
  </si>
  <si>
    <t>2025-09-25T11:42:00</t>
  </si>
  <si>
    <t>PH-PRJ-082-10</t>
  </si>
  <si>
    <t>2025-10-12T14:16:00</t>
  </si>
  <si>
    <t>PH-PRJ-083-01</t>
  </si>
  <si>
    <t>PRJ-083</t>
  </si>
  <si>
    <t>2023-05-17T12:29:00</t>
  </si>
  <si>
    <t>PH-PRJ-083-02</t>
  </si>
  <si>
    <t>2023-07-20T07:52:00</t>
  </si>
  <si>
    <t>PH-PRJ-083-03</t>
  </si>
  <si>
    <t>2023-11-26T12:19:00</t>
  </si>
  <si>
    <t>PH-PRJ-083-04</t>
  </si>
  <si>
    <t>2024-04-28T12:57:00</t>
  </si>
  <si>
    <t>PH-PRJ-083-05</t>
  </si>
  <si>
    <t>2024-11-07T15:49:00</t>
  </si>
  <si>
    <t>PH-PRJ-083-06</t>
  </si>
  <si>
    <t>2025-09-25T17:54:00</t>
  </si>
  <si>
    <t>PH-PRJ-083-07</t>
  </si>
  <si>
    <t>2026-02-01T08:17:00</t>
  </si>
  <si>
    <t>PH-PRJ-083-08</t>
  </si>
  <si>
    <t>2026-05-15T17:33:00</t>
  </si>
  <si>
    <t>PH-PRJ-083-09</t>
  </si>
  <si>
    <t>2026-09-21T17:01:00</t>
  </si>
  <si>
    <t>PH-PRJ-083-10</t>
  </si>
  <si>
    <t>2026-10-29T09:26:00</t>
  </si>
  <si>
    <t>PH-PRJ-084-01</t>
  </si>
  <si>
    <t>PRJ-084</t>
  </si>
  <si>
    <t>2022-10-30T10:42:00</t>
  </si>
  <si>
    <t>PH-PRJ-084-02</t>
  </si>
  <si>
    <t>2022-11-23T09:22:00</t>
  </si>
  <si>
    <t>PH-PRJ-084-03</t>
  </si>
  <si>
    <t>2023-01-10T14:01:00</t>
  </si>
  <si>
    <t>PH-PRJ-084-04</t>
  </si>
  <si>
    <t>2023-03-08T10:36:00</t>
  </si>
  <si>
    <t>PH-PRJ-084-05</t>
  </si>
  <si>
    <t>2023-05-19T13:23:00</t>
  </si>
  <si>
    <t>PH-PRJ-084-06</t>
  </si>
  <si>
    <t>2023-09-16T10:47:00</t>
  </si>
  <si>
    <t>PH-PRJ-084-07</t>
  </si>
  <si>
    <t>2023-11-03T08:12:00</t>
  </si>
  <si>
    <t>PH-PRJ-084-08</t>
  </si>
  <si>
    <t>2023-12-11T13:40:00</t>
  </si>
  <si>
    <t>PH-PRJ-084-09</t>
  </si>
  <si>
    <t>2024-01-28T08:17:00</t>
  </si>
  <si>
    <t>PH-PRJ-084-10</t>
  </si>
  <si>
    <t>2024-02-11T17:43:00</t>
  </si>
  <si>
    <t>PH-PRJ-085-01</t>
  </si>
  <si>
    <t>PRJ-085</t>
  </si>
  <si>
    <t>2022-04-09T15:57:00</t>
  </si>
  <si>
    <t>PH-PRJ-085-02</t>
  </si>
  <si>
    <t>2022-06-15T14:56:00</t>
  </si>
  <si>
    <t>PH-PRJ-085-03</t>
  </si>
  <si>
    <t>2022-10-28T15:11:00</t>
  </si>
  <si>
    <t>PH-PRJ-085-04</t>
  </si>
  <si>
    <t>2023-04-08T11:58:00</t>
  </si>
  <si>
    <t>PH-PRJ-085-05</t>
  </si>
  <si>
    <t>2023-10-27T17:22:00</t>
  </si>
  <si>
    <t>PH-PRJ-085-06</t>
  </si>
  <si>
    <t>2024-09-28T12:25:00</t>
  </si>
  <si>
    <t>PH-PRJ-085-07</t>
  </si>
  <si>
    <t>2025-02-10T16:26:00</t>
  </si>
  <si>
    <t>PH-PRJ-085-08</t>
  </si>
  <si>
    <t>2025-05-29T11:19:00</t>
  </si>
  <si>
    <t>PH-PRJ-085-09</t>
  </si>
  <si>
    <t>2025-10-11T10:02:00</t>
  </si>
  <si>
    <t>PH-PRJ-085-10</t>
  </si>
  <si>
    <t>2025-11-20T16:33:00</t>
  </si>
  <si>
    <t>PH-PRJ-086-01</t>
  </si>
  <si>
    <t>PRJ-086</t>
  </si>
  <si>
    <t>2022-03-30T12:53:00</t>
  </si>
  <si>
    <t>PH-PRJ-086-02</t>
  </si>
  <si>
    <t>2022-04-26T16:07:00</t>
  </si>
  <si>
    <t>PH-PRJ-086-03</t>
  </si>
  <si>
    <t>2022-06-19T13:50:00</t>
  </si>
  <si>
    <t>PH-PRJ-086-04</t>
  </si>
  <si>
    <t>2022-08-22T14:36:00</t>
  </si>
  <si>
    <t>PH-PRJ-086-05</t>
  </si>
  <si>
    <t>2022-11-11T12:18:00</t>
  </si>
  <si>
    <t>PH-PRJ-086-06</t>
  </si>
  <si>
    <t>2023-03-26T08:00:00</t>
  </si>
  <si>
    <t>PH-PRJ-086-07</t>
  </si>
  <si>
    <t>2023-05-19T14:59:00</t>
  </si>
  <si>
    <t>PH-PRJ-086-08</t>
  </si>
  <si>
    <t>2023-07-01T17:09:00</t>
  </si>
  <si>
    <t>PH-PRJ-086-09</t>
  </si>
  <si>
    <t>2023-08-24T14:43:00</t>
  </si>
  <si>
    <t>PH-PRJ-086-10</t>
  </si>
  <si>
    <t>2023-09-09T09:33:00</t>
  </si>
  <si>
    <t>PH-PRJ-087-01</t>
  </si>
  <si>
    <t>PRJ-087</t>
  </si>
  <si>
    <t>2020-10-20T11:39:00</t>
  </si>
  <si>
    <t>PH-PRJ-087-02</t>
  </si>
  <si>
    <t>2020-12-13T15:42:00</t>
  </si>
  <si>
    <t>PH-PRJ-087-03</t>
  </si>
  <si>
    <t>2021-03-31T09:19:00</t>
  </si>
  <si>
    <t>PH-PRJ-087-04</t>
  </si>
  <si>
    <t>2021-08-07T14:18:00</t>
  </si>
  <si>
    <t>PH-PRJ-087-05</t>
  </si>
  <si>
    <t>2022-01-16T08:51:00</t>
  </si>
  <si>
    <t>PH-PRJ-087-06</t>
  </si>
  <si>
    <t>2022-10-13T11:00:00</t>
  </si>
  <si>
    <t>PH-PRJ-087-07</t>
  </si>
  <si>
    <t>2023-01-29T14:02:00</t>
  </si>
  <si>
    <t>PH-PRJ-087-08</t>
  </si>
  <si>
    <t>2023-04-25T10:18:00</t>
  </si>
  <si>
    <t>PH-PRJ-087-09</t>
  </si>
  <si>
    <t>2023-08-11T16:07:00</t>
  </si>
  <si>
    <t>PH-PRJ-087-10</t>
  </si>
  <si>
    <t>2023-09-12T07:31:00</t>
  </si>
  <si>
    <t>PH-PRJ-088-01</t>
  </si>
  <si>
    <t>PRJ-088</t>
  </si>
  <si>
    <t>2023-03-08T11:00:00</t>
  </si>
  <si>
    <t>PH-PRJ-088-02</t>
  </si>
  <si>
    <t>2023-05-10T13:22:00</t>
  </si>
  <si>
    <t>PH-PRJ-088-03</t>
  </si>
  <si>
    <t>2023-09-13T17:53:00</t>
  </si>
  <si>
    <t>PH-PRJ-088-04</t>
  </si>
  <si>
    <t>2024-02-11T07:03:00</t>
  </si>
  <si>
    <t>PH-PRJ-088-05</t>
  </si>
  <si>
    <t>2024-08-18T11:08:00</t>
  </si>
  <si>
    <t>PH-PRJ-088-06</t>
  </si>
  <si>
    <t>2025-06-29T12:56:00</t>
  </si>
  <si>
    <t>PH-PRJ-088-07</t>
  </si>
  <si>
    <t>2025-11-02T11:50:00</t>
  </si>
  <si>
    <t>PH-PRJ-088-08</t>
  </si>
  <si>
    <t>2026-02-10T17:49:00</t>
  </si>
  <si>
    <t>PH-PRJ-088-09</t>
  </si>
  <si>
    <t>2026-06-16T15:09:00</t>
  </si>
  <si>
    <t>PH-PRJ-088-10</t>
  </si>
  <si>
    <t>2026-07-23T08:45:00</t>
  </si>
  <si>
    <t>PH-PRJ-089-01</t>
  </si>
  <si>
    <t>PRJ-089</t>
  </si>
  <si>
    <t>2024-02-09T11:09:00</t>
  </si>
  <si>
    <t>PH-PRJ-089-02</t>
  </si>
  <si>
    <t>2024-04-18T10:27:00</t>
  </si>
  <si>
    <t>PH-PRJ-089-03</t>
  </si>
  <si>
    <t>2024-09-03T16:58:00</t>
  </si>
  <si>
    <t>PH-PRJ-089-04</t>
  </si>
  <si>
    <t>2025-02-15T08:18:00</t>
  </si>
  <si>
    <t>PH-PRJ-089-05</t>
  </si>
  <si>
    <t>2025-09-10T07:30:00</t>
  </si>
  <si>
    <t>PH-PRJ-089-06</t>
  </si>
  <si>
    <t>2026-08-21T12:15:00</t>
  </si>
  <si>
    <t>PH-PRJ-089-07</t>
  </si>
  <si>
    <t>2027-01-06T17:40:00</t>
  </si>
  <si>
    <t>PH-PRJ-089-08</t>
  </si>
  <si>
    <t>2027-04-26T13:27:00</t>
  </si>
  <si>
    <t>PH-PRJ-089-09</t>
  </si>
  <si>
    <t>2027-09-11T13:57:00</t>
  </si>
  <si>
    <t>PH-PRJ-089-10</t>
  </si>
  <si>
    <t>2027-10-22T08:57:00</t>
  </si>
  <si>
    <t>PH-PRJ-090-01</t>
  </si>
  <si>
    <t>PRJ-090</t>
  </si>
  <si>
    <t>2025-02-01T11:58:00</t>
  </si>
  <si>
    <t>PH-PRJ-090-02</t>
  </si>
  <si>
    <t>2025-03-18T11:38:00</t>
  </si>
  <si>
    <t>PH-PRJ-090-03</t>
  </si>
  <si>
    <t>2025-06-16T11:11:00</t>
  </si>
  <si>
    <t>PH-PRJ-090-04</t>
  </si>
  <si>
    <t>2025-10-02T16:27:00</t>
  </si>
  <si>
    <t>PH-PRJ-090-05</t>
  </si>
  <si>
    <t>2026-02-14T16:08:00</t>
  </si>
  <si>
    <t>PH-PRJ-090-06</t>
  </si>
  <si>
    <t>2026-09-27T17:49:00</t>
  </si>
  <si>
    <t>PH-PRJ-090-07</t>
  </si>
  <si>
    <t>2026-12-26T10:16:00</t>
  </si>
  <si>
    <t>PH-PRJ-090-08</t>
  </si>
  <si>
    <t>2027-03-08T09:26:00</t>
  </si>
  <si>
    <t>PH-PRJ-090-09</t>
  </si>
  <si>
    <t>2027-06-06T15:12:00</t>
  </si>
  <si>
    <t>PH-PRJ-090-10</t>
  </si>
  <si>
    <t>2027-07-03T11:19:00</t>
  </si>
  <si>
    <t>PH-PRJ-091-01</t>
  </si>
  <si>
    <t>PRJ-091</t>
  </si>
  <si>
    <t>2025-01-03T08:19:00</t>
  </si>
  <si>
    <t>PH-PRJ-091-02</t>
  </si>
  <si>
    <t>2025-02-08T16:59:00</t>
  </si>
  <si>
    <t>PH-PRJ-091-03</t>
  </si>
  <si>
    <t>2025-04-21T17:29:00</t>
  </si>
  <si>
    <t>PH-PRJ-091-04</t>
  </si>
  <si>
    <t>2025-07-16T15:11:00</t>
  </si>
  <si>
    <t>PH-PRJ-091-05</t>
  </si>
  <si>
    <t>2025-11-01T13:06:00</t>
  </si>
  <si>
    <t>PH-PRJ-091-06</t>
  </si>
  <si>
    <t>2026-04-30T09:33:00</t>
  </si>
  <si>
    <t>PH-PRJ-091-07</t>
  </si>
  <si>
    <t>2026-07-11T14:44:00</t>
  </si>
  <si>
    <t>PH-PRJ-091-08</t>
  </si>
  <si>
    <t>2026-09-06T12:32:00</t>
  </si>
  <si>
    <t>PH-PRJ-091-09</t>
  </si>
  <si>
    <t>2026-11-17T17:45:00</t>
  </si>
  <si>
    <t>PH-PRJ-091-10</t>
  </si>
  <si>
    <t>2026-12-08T12:29:00</t>
  </si>
  <si>
    <t>PH-PRJ-092-01</t>
  </si>
  <si>
    <t>PRJ-092</t>
  </si>
  <si>
    <t>2023-01-17T12:27:00</t>
  </si>
  <si>
    <t>PH-PRJ-092-02</t>
  </si>
  <si>
    <t>2023-03-01T14:26:00</t>
  </si>
  <si>
    <t>PH-PRJ-092-03</t>
  </si>
  <si>
    <t>2023-05-27T13:29:00</t>
  </si>
  <si>
    <t>PH-PRJ-092-04</t>
  </si>
  <si>
    <t>2023-09-08T07:58:00</t>
  </si>
  <si>
    <t>PH-PRJ-092-05</t>
  </si>
  <si>
    <t>2024-01-16T15:01:00</t>
  </si>
  <si>
    <t>PH-PRJ-092-06</t>
  </si>
  <si>
    <t>2024-08-20T13:05:00</t>
  </si>
  <si>
    <t>PH-PRJ-092-07</t>
  </si>
  <si>
    <t>2024-11-15T09:39:00</t>
  </si>
  <si>
    <t>PH-PRJ-092-08</t>
  </si>
  <si>
    <t>2025-01-23T11:50:00</t>
  </si>
  <si>
    <t>PH-PRJ-092-09</t>
  </si>
  <si>
    <t>2025-04-20T10:37:00</t>
  </si>
  <si>
    <t>PH-PRJ-092-10</t>
  </si>
  <si>
    <t>2025-05-16T15:23:00</t>
  </si>
  <si>
    <t>PH-PRJ-093-01</t>
  </si>
  <si>
    <t>PRJ-093</t>
  </si>
  <si>
    <t>2020-07-18T09:39:00</t>
  </si>
  <si>
    <t>PH-PRJ-093-02</t>
  </si>
  <si>
    <t>2020-08-30T15:57:00</t>
  </si>
  <si>
    <t>PH-PRJ-093-03</t>
  </si>
  <si>
    <t>2020-11-25T16:56:00</t>
  </si>
  <si>
    <t>PH-PRJ-093-04</t>
  </si>
  <si>
    <t>2021-03-09T11:03:00</t>
  </si>
  <si>
    <t>PH-PRJ-093-05</t>
  </si>
  <si>
    <t>2021-07-17T13:08:00</t>
  </si>
  <si>
    <t>PH-PRJ-093-06</t>
  </si>
  <si>
    <t>2022-02-19T13:42:00</t>
  </si>
  <si>
    <t>PH-PRJ-093-07</t>
  </si>
  <si>
    <t>2022-05-17T07:29:00</t>
  </si>
  <si>
    <t>PH-PRJ-093-08</t>
  </si>
  <si>
    <t>2022-07-25T15:29:00</t>
  </si>
  <si>
    <t>PH-PRJ-093-09</t>
  </si>
  <si>
    <t>2022-10-20T07:05:00</t>
  </si>
  <si>
    <t>PH-PRJ-093-10</t>
  </si>
  <si>
    <t>2022-11-15T07:17:00</t>
  </si>
  <si>
    <t>PH-PRJ-094-01</t>
  </si>
  <si>
    <t>PRJ-094</t>
  </si>
  <si>
    <t>2021-07-19T17:06:00</t>
  </si>
  <si>
    <t>PH-PRJ-094-02</t>
  </si>
  <si>
    <t>2021-09-17T12:38:00</t>
  </si>
  <si>
    <t>PH-PRJ-094-03</t>
  </si>
  <si>
    <t>2022-01-15T08:52:00</t>
  </si>
  <si>
    <t>PH-PRJ-094-04</t>
  </si>
  <si>
    <t>2022-06-08T11:36:00</t>
  </si>
  <si>
    <t>PH-PRJ-094-05</t>
  </si>
  <si>
    <t>2022-12-05T14:44:00</t>
  </si>
  <si>
    <t>PH-PRJ-094-06</t>
  </si>
  <si>
    <t>2023-10-01T12:55:00</t>
  </si>
  <si>
    <t>PH-PRJ-094-07</t>
  </si>
  <si>
    <t>2024-01-29T07:07:00</t>
  </si>
  <si>
    <t>PH-PRJ-094-08</t>
  </si>
  <si>
    <t>2024-05-04T16:43:00</t>
  </si>
  <si>
    <t>PH-PRJ-094-09</t>
  </si>
  <si>
    <t>2024-09-01T15:47:00</t>
  </si>
  <si>
    <t>PH-PRJ-094-10</t>
  </si>
  <si>
    <t>2024-10-07T07:44:00</t>
  </si>
  <si>
    <t>PH-PRJ-095-01</t>
  </si>
  <si>
    <t>PRJ-095</t>
  </si>
  <si>
    <t>2022-11-25T10:33:00</t>
  </si>
  <si>
    <t>PH-PRJ-095-02</t>
  </si>
  <si>
    <t>2022-12-20T09:35:00</t>
  </si>
  <si>
    <t>PH-PRJ-095-03</t>
  </si>
  <si>
    <t>2023-02-09T14:08:00</t>
  </si>
  <si>
    <t>PH-PRJ-095-04</t>
  </si>
  <si>
    <t>2023-04-11T10:57:00</t>
  </si>
  <si>
    <t>PH-PRJ-095-05</t>
  </si>
  <si>
    <t>2023-06-26T17:40:00</t>
  </si>
  <si>
    <t>PH-PRJ-095-06</t>
  </si>
  <si>
    <t>2023-10-31T09:19:00</t>
  </si>
  <si>
    <t>PH-PRJ-095-07</t>
  </si>
  <si>
    <t>2023-12-21T17:19:00</t>
  </si>
  <si>
    <t>PH-PRJ-095-08</t>
  </si>
  <si>
    <t>2024-01-30T07:51:00</t>
  </si>
  <si>
    <t>PH-PRJ-095-09</t>
  </si>
  <si>
    <t>2024-03-21T14:39:00</t>
  </si>
  <si>
    <t>PH-PRJ-095-10</t>
  </si>
  <si>
    <t>2024-04-05T10:07:00</t>
  </si>
  <si>
    <t>PH-PRJ-096-01</t>
  </si>
  <si>
    <t>PRJ-096</t>
  </si>
  <si>
    <t>2021-11-11T08:00:00</t>
  </si>
  <si>
    <t>PH-PRJ-096-02</t>
  </si>
  <si>
    <t>2021-12-21T09:38:00</t>
  </si>
  <si>
    <t>PH-PRJ-096-03</t>
  </si>
  <si>
    <t>2022-03-12T08:33:00</t>
  </si>
  <si>
    <t>PH-PRJ-096-04</t>
  </si>
  <si>
    <t>2022-06-17T08:15:00</t>
  </si>
  <si>
    <t>PH-PRJ-096-05</t>
  </si>
  <si>
    <t>2022-10-16T10:06:00</t>
  </si>
  <si>
    <t>PH-PRJ-096-06</t>
  </si>
  <si>
    <t>2023-05-06T14:01:00</t>
  </si>
  <si>
    <t>PH-PRJ-096-07</t>
  </si>
  <si>
    <t>2023-07-26T15:28:00</t>
  </si>
  <si>
    <t>PH-PRJ-096-08</t>
  </si>
  <si>
    <t>2023-09-28T13:03:00</t>
  </si>
  <si>
    <t>PH-PRJ-096-09</t>
  </si>
  <si>
    <t>2023-12-18T08:19:00</t>
  </si>
  <si>
    <t>PH-PRJ-096-10</t>
  </si>
  <si>
    <t>2024-01-11T13:30:00</t>
  </si>
  <si>
    <t>PH-PRJ-097-01</t>
  </si>
  <si>
    <t>PRJ-097</t>
  </si>
  <si>
    <t>2022-03-23T09:52:00</t>
  </si>
  <si>
    <t>PH-PRJ-097-02</t>
  </si>
  <si>
    <t>2022-05-08T10:53:00</t>
  </si>
  <si>
    <t>PH-PRJ-097-03</t>
  </si>
  <si>
    <t>2022-08-09T15:16:00</t>
  </si>
  <si>
    <t>PH-PRJ-097-04</t>
  </si>
  <si>
    <t>2022-11-28T16:43:00</t>
  </si>
  <si>
    <t>PH-PRJ-097-05</t>
  </si>
  <si>
    <t>2023-04-16T14:54:00</t>
  </si>
  <si>
    <t>PH-PRJ-097-06</t>
  </si>
  <si>
    <t>2023-12-04T17:39:00</t>
  </si>
  <si>
    <t>PH-PRJ-097-07</t>
  </si>
  <si>
    <t>2024-03-06T08:27:00</t>
  </si>
  <si>
    <t>PH-PRJ-097-08</t>
  </si>
  <si>
    <t>2024-05-19T09:40:00</t>
  </si>
  <si>
    <t>PH-PRJ-097-09</t>
  </si>
  <si>
    <t>2024-08-20T07:11:00</t>
  </si>
  <si>
    <t>PH-PRJ-097-10</t>
  </si>
  <si>
    <t>2024-09-16T09:52:00</t>
  </si>
  <si>
    <t>PH-PRJ-098-01</t>
  </si>
  <si>
    <t>PRJ-098</t>
  </si>
  <si>
    <t>2022-01-27T17:15:00</t>
  </si>
  <si>
    <t>PH-PRJ-098-02</t>
  </si>
  <si>
    <t>2022-03-05T09:32:00</t>
  </si>
  <si>
    <t>PH-PRJ-098-03</t>
  </si>
  <si>
    <t>2022-05-19T15:12:00</t>
  </si>
  <si>
    <t>PH-PRJ-098-04</t>
  </si>
  <si>
    <t>2022-08-17T14:30:00</t>
  </si>
  <si>
    <t>PH-PRJ-098-05</t>
  </si>
  <si>
    <t>2022-12-07T11:18:00</t>
  </si>
  <si>
    <t>PH-PRJ-098-06</t>
  </si>
  <si>
    <t>2023-06-12T17:06:00</t>
  </si>
  <si>
    <t>PH-PRJ-098-07</t>
  </si>
  <si>
    <t>2023-08-26T16:31:00</t>
  </si>
  <si>
    <t>PH-PRJ-098-08</t>
  </si>
  <si>
    <t>2023-10-25T12:42:00</t>
  </si>
  <si>
    <t>PH-PRJ-098-09</t>
  </si>
  <si>
    <t>2024-01-08T11:25:00</t>
  </si>
  <si>
    <t>PH-PRJ-098-10</t>
  </si>
  <si>
    <t>2024-01-30T13:44:00</t>
  </si>
  <si>
    <t>PH-PRJ-099-01</t>
  </si>
  <si>
    <t>PRJ-099</t>
  </si>
  <si>
    <t>2022-08-18T08:29:00</t>
  </si>
  <si>
    <t>PH-PRJ-099-02</t>
  </si>
  <si>
    <t>2022-10-20T13:52:00</t>
  </si>
  <si>
    <t>PH-PRJ-099-03</t>
  </si>
  <si>
    <t>2023-02-23T13:09:00</t>
  </si>
  <si>
    <t>PH-PRJ-099-04</t>
  </si>
  <si>
    <t>2023-07-24T07:18:00</t>
  </si>
  <si>
    <t>PH-PRJ-099-05</t>
  </si>
  <si>
    <t>2024-01-29T14:07:00</t>
  </si>
  <si>
    <t>PH-PRJ-099-06</t>
  </si>
  <si>
    <t>2024-12-09T16:24:00</t>
  </si>
  <si>
    <t>PH-PRJ-099-07</t>
  </si>
  <si>
    <t>2025-04-14T07:37:00</t>
  </si>
  <si>
    <t>PH-PRJ-099-08</t>
  </si>
  <si>
    <t>2025-07-23T11:02:00</t>
  </si>
  <si>
    <t>PH-PRJ-099-09</t>
  </si>
  <si>
    <t>2025-11-26T17:41:00</t>
  </si>
  <si>
    <t>PH-PRJ-099-10</t>
  </si>
  <si>
    <t>2026-01-02T17:39:00</t>
  </si>
  <si>
    <t>PH-PRJ-100-01</t>
  </si>
  <si>
    <t>PRJ-100</t>
  </si>
  <si>
    <t>2023-04-19T14:02:00</t>
  </si>
  <si>
    <t>PH-PRJ-100-02</t>
  </si>
  <si>
    <t>2023-05-20T12:08:00</t>
  </si>
  <si>
    <t>PH-PRJ-100-03</t>
  </si>
  <si>
    <t>2023-07-22T14:56:00</t>
  </si>
  <si>
    <t>PH-PRJ-100-04</t>
  </si>
  <si>
    <t>2023-10-05T14:17:00</t>
  </si>
  <si>
    <t>PH-PRJ-100-05</t>
  </si>
  <si>
    <t>2024-01-07T07:10:00</t>
  </si>
  <si>
    <t>PH-PRJ-100-06</t>
  </si>
  <si>
    <t>2024-06-12T12:32:00</t>
  </si>
  <si>
    <t>PH-PRJ-100-07</t>
  </si>
  <si>
    <t>2024-08-14T15:13:00</t>
  </si>
  <si>
    <t>PH-PRJ-100-08</t>
  </si>
  <si>
    <t>2024-10-03T12:57:00</t>
  </si>
  <si>
    <t>PH-PRJ-100-09</t>
  </si>
  <si>
    <t>2024-12-05T15:24:00</t>
  </si>
  <si>
    <t>PH-PRJ-100-10</t>
  </si>
  <si>
    <t>2024-12-23T15:04:00</t>
  </si>
  <si>
    <t>delay_days</t>
  </si>
  <si>
    <t>Row Labels</t>
  </si>
  <si>
    <t>Grand Total</t>
  </si>
  <si>
    <t>Overdue_Phase</t>
  </si>
  <si>
    <t>Sum of Overdue_Phase</t>
  </si>
  <si>
    <t>Overdue_Delay</t>
  </si>
  <si>
    <t>Average of Overdue_Delay</t>
  </si>
  <si>
    <t>(Multiple Items)</t>
  </si>
  <si>
    <t>(blank)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</si>
</sst>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0" borderId="10" xfId="0" applyBorder="1" applyAlignment="1">
      <alignment horizontal="center" vertical="center"/>
    </xf>
    <xf numFmtId="14" fontId="0" fillId="0" borderId="10" xfId="0" applyNumberFormat="1" applyBorder="1" applyAlignment="1">
      <alignment horizontal="center" vertical="center"/>
    </xf>
    <xf numFmtId="0" fontId="16" fillId="33" borderId="10" xfId="0" applyFont="1" applyFill="1" applyBorder="1" applyAlignment="1">
      <alignment horizontal="center" vertical="center"/>
    </xf>
    <xf numFmtId="0" fontId="16" fillId="34" borderId="10" xfId="0" applyFont="1" applyFill="1" applyBorder="1" applyAlignment="1">
      <alignment horizontal="center" vertical="center"/>
    </xf>
    <xf numFmtId="0" fontId="0" fillId="35" borderId="10" xfId="0" applyFill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ouelhamd Ezzat" refreshedDate="46296.067451736111" createdVersion="8" refreshedVersion="8" minRefreshableVersion="3" recordCount="1001" xr:uid="{93998B07-9DB3-4314-9C70-F5BF8DC7C95B}">
  <cacheSource type="worksheet">
    <worksheetSource ref="A1:U1048576" sheet="project_phases"/>
  </cacheSource>
  <cacheFields count="21">
    <cacheField name="phase_id" numFmtId="0">
      <sharedItems containsBlank="1"/>
    </cacheField>
    <cacheField name="project_id" numFmtId="0">
      <sharedItems containsBlank="1" count="101">
        <s v="PRJ-001"/>
        <s v="PRJ-002"/>
        <s v="PRJ-003"/>
        <s v="PRJ-004"/>
        <s v="PRJ-005"/>
        <s v="PRJ-006"/>
        <s v="PRJ-007"/>
        <s v="PRJ-008"/>
        <s v="PRJ-009"/>
        <s v="PRJ-010"/>
        <s v="PRJ-011"/>
        <s v="PRJ-012"/>
        <s v="PRJ-013"/>
        <s v="PRJ-014"/>
        <s v="PRJ-015"/>
        <s v="PRJ-016"/>
        <s v="PRJ-017"/>
        <s v="PRJ-018"/>
        <s v="PRJ-019"/>
        <s v="PRJ-020"/>
        <s v="PRJ-021"/>
        <s v="PRJ-022"/>
        <s v="PRJ-023"/>
        <s v="PRJ-024"/>
        <s v="PRJ-025"/>
        <s v="PRJ-026"/>
        <s v="PRJ-027"/>
        <s v="PRJ-028"/>
        <s v="PRJ-029"/>
        <s v="PRJ-030"/>
        <s v="PRJ-031"/>
        <s v="PRJ-032"/>
        <s v="PRJ-033"/>
        <s v="PRJ-034"/>
        <s v="PRJ-035"/>
        <s v="PRJ-036"/>
        <s v="PRJ-037"/>
        <s v="PRJ-038"/>
        <s v="PRJ-039"/>
        <s v="PRJ-040"/>
        <s v="PRJ-041"/>
        <s v="PRJ-042"/>
        <s v="PRJ-043"/>
        <s v="PRJ-044"/>
        <s v="PRJ-045"/>
        <s v="PRJ-046"/>
        <s v="PRJ-047"/>
        <s v="PRJ-048"/>
        <s v="PRJ-049"/>
        <s v="PRJ-050"/>
        <s v="PRJ-051"/>
        <s v="PRJ-052"/>
        <s v="PRJ-053"/>
        <s v="PRJ-054"/>
        <s v="PRJ-055"/>
        <s v="PRJ-056"/>
        <s v="PRJ-057"/>
        <s v="PRJ-058"/>
        <s v="PRJ-059"/>
        <s v="PRJ-060"/>
        <s v="PRJ-061"/>
        <s v="PRJ-062"/>
        <s v="PRJ-063"/>
        <s v="PRJ-064"/>
        <s v="PRJ-065"/>
        <s v="PRJ-066"/>
        <s v="PRJ-067"/>
        <s v="PRJ-068"/>
        <s v="PRJ-069"/>
        <s v="PRJ-070"/>
        <s v="PRJ-071"/>
        <s v="PRJ-072"/>
        <s v="PRJ-073"/>
        <s v="PRJ-074"/>
        <s v="PRJ-075"/>
        <s v="PRJ-076"/>
        <s v="PRJ-077"/>
        <s v="PRJ-078"/>
        <s v="PRJ-079"/>
        <s v="PRJ-080"/>
        <s v="PRJ-081"/>
        <s v="PRJ-082"/>
        <s v="PRJ-083"/>
        <s v="PRJ-084"/>
        <s v="PRJ-085"/>
        <s v="PRJ-086"/>
        <s v="PRJ-087"/>
        <s v="PRJ-088"/>
        <s v="PRJ-089"/>
        <s v="PRJ-090"/>
        <s v="PRJ-091"/>
        <s v="PRJ-092"/>
        <s v="PRJ-093"/>
        <s v="PRJ-094"/>
        <s v="PRJ-095"/>
        <s v="PRJ-096"/>
        <s v="PRJ-097"/>
        <s v="PRJ-098"/>
        <s v="PRJ-099"/>
        <s v="PRJ-100"/>
        <m/>
      </sharedItems>
    </cacheField>
    <cacheField name="phase_name" numFmtId="0">
      <sharedItems containsBlank="1" count="11">
        <s v="Enabling Works"/>
        <s v="Excavation &amp; Shoring"/>
        <s v="Piling"/>
        <s v="Substructure"/>
        <s v="Superstructure"/>
        <s v="MEP Rough-In"/>
        <s v="Facade"/>
        <s v="Finishes"/>
        <s v="Testing &amp; Commissioning"/>
        <s v="Handover"/>
        <m/>
      </sharedItems>
    </cacheField>
    <cacheField name="planned_start" numFmtId="0">
      <sharedItems containsNonDate="0" containsDate="1" containsString="0" containsBlank="1" minDate="2020-02-20T00:00:00" maxDate="2029-01-15T00:00:00"/>
    </cacheField>
    <cacheField name="planned_end" numFmtId="0">
      <sharedItems containsNonDate="0" containsDate="1" containsString="0" containsBlank="1" minDate="2020-04-18T00:00:00" maxDate="2029-02-12T00:00:00"/>
    </cacheField>
    <cacheField name="actual_start" numFmtId="0">
      <sharedItems containsNonDate="0" containsDate="1" containsString="0" containsBlank="1" minDate="2020-02-20T00:00:00" maxDate="2026-02-23T00:00:00"/>
    </cacheField>
    <cacheField name="actual_end" numFmtId="0">
      <sharedItems containsNonDate="0" containsDate="1" containsString="0" containsBlank="1" minDate="2020-04-18T00:00:00" maxDate="2026-03-01T00:00:00"/>
    </cacheField>
    <cacheField name="status" numFmtId="0">
      <sharedItems containsBlank="1"/>
    </cacheField>
    <cacheField name="progress_pct" numFmtId="0">
      <sharedItems containsString="0" containsBlank="1" containsNumber="1" containsInteger="1" minValue="0" maxValue="100"/>
    </cacheField>
    <cacheField name="budget_aed" numFmtId="0">
      <sharedItems containsString="0" containsBlank="1" containsNumber="1" containsInteger="1" minValue="204401" maxValue="121793786"/>
    </cacheField>
    <cacheField name="internal_notes" numFmtId="0">
      <sharedItems containsNonDate="0" containsString="0" containsBlank="1"/>
    </cacheField>
    <cacheField name="created_at" numFmtId="0">
      <sharedItems containsBlank="1"/>
    </cacheField>
    <cacheField name="last_updated_at" numFmtId="0">
      <sharedItems containsBlank="1"/>
    </cacheField>
    <cacheField name="created_by" numFmtId="0">
      <sharedItems containsBlank="1"/>
    </cacheField>
    <cacheField name="record_version" numFmtId="0">
      <sharedItems containsString="0" containsBlank="1" containsNumber="1" containsInteger="1" minValue="1" maxValue="1"/>
    </cacheField>
    <cacheField name="is_active" numFmtId="0">
      <sharedItems containsBlank="1"/>
    </cacheField>
    <cacheField name="tags" numFmtId="0">
      <sharedItems containsBlank="1"/>
    </cacheField>
    <cacheField name="Field18" caption="Field18" numFmtId="0">
      <sharedItems containsDate="1" containsString="0" containsBlank="1" containsMixedTypes="1" minDate="1899-12-31T00:00:00" maxDate="2026-09-30T00:00:00"/>
    </cacheField>
    <cacheField name="delay_days" numFmtId="0">
      <sharedItems containsString="0" containsBlank="1" containsNumber="1" containsInteger="1" minValue="-866" maxValue="209"/>
    </cacheField>
    <cacheField name="Overdue_Phase" numFmtId="0">
      <sharedItems containsString="0" containsBlank="1" containsNumber="1" containsInteger="1" minValue="0" maxValue="1" count="3">
        <n v="0"/>
        <n v="1"/>
        <m/>
      </sharedItems>
    </cacheField>
    <cacheField name="Overdue_Delay" numFmtId="0">
      <sharedItems containsString="0" containsBlank="1" containsNumber="1" containsInteger="1" minValue="0" maxValue="209" count="58">
        <n v="0"/>
        <n v="121"/>
        <n v="28"/>
        <n v="137"/>
        <n v="100"/>
        <n v="75"/>
        <n v="129"/>
        <n v="97"/>
        <n v="76"/>
        <n v="159"/>
        <n v="84"/>
        <n v="62"/>
        <n v="47"/>
        <n v="140"/>
        <n v="35"/>
        <n v="209"/>
        <n v="185"/>
        <n v="169"/>
        <n v="154"/>
        <n v="196"/>
        <n v="58"/>
        <n v="17"/>
        <n v="87"/>
        <n v="3"/>
        <n v="162"/>
        <n v="141"/>
        <n v="127"/>
        <n v="179"/>
        <n v="161"/>
        <n v="149"/>
        <n v="74"/>
        <n v="207"/>
        <n v="81"/>
        <n v="63"/>
        <n v="202"/>
        <n v="124"/>
        <n v="101"/>
        <n v="86"/>
        <n v="186"/>
        <n v="153"/>
        <n v="111"/>
        <n v="99"/>
        <n v="91"/>
        <n v="114"/>
        <n v="33"/>
        <n v="176"/>
        <n v="110"/>
        <n v="78"/>
        <n v="8"/>
        <n v="105"/>
        <n v="68"/>
        <n v="43"/>
        <n v="39"/>
        <n v="2"/>
        <n v="152"/>
        <n v="80"/>
        <n v="23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1">
  <r>
    <s v="PH-PRJ-001-01"/>
    <x v="0"/>
    <x v="0"/>
    <d v="2023-12-14T00:00:00"/>
    <d v="2024-02-10T00:00:00"/>
    <d v="2023-12-14T00:00:00"/>
    <d v="2024-02-10T00:00:00"/>
    <s v="Completed"/>
    <n v="100"/>
    <n v="11078511"/>
    <m/>
    <s v="2023-12-14T15:19:00"/>
    <s v="2023-12-14T15:19:00"/>
    <s v="system@alrashdeng.ae"/>
    <n v="1"/>
    <b v="1"/>
    <m/>
    <m/>
    <m/>
    <x v="0"/>
    <x v="0"/>
  </r>
  <r>
    <s v="PH-PRJ-001-02"/>
    <x v="0"/>
    <x v="1"/>
    <d v="2024-02-10T00:00:00"/>
    <d v="2024-06-06T00:00:00"/>
    <d v="2024-02-10T00:00:00"/>
    <d v="2024-06-06T00:00:00"/>
    <s v="Completed"/>
    <n v="100"/>
    <n v="22157022"/>
    <m/>
    <s v="2024-02-10T17:14:00"/>
    <s v="2024-02-10T17:14:00"/>
    <s v="system@alrashdeng.ae"/>
    <n v="1"/>
    <b v="1"/>
    <m/>
    <n v="0"/>
    <m/>
    <x v="0"/>
    <x v="0"/>
  </r>
  <r>
    <s v="PH-PRJ-001-03"/>
    <x v="0"/>
    <x v="2"/>
    <d v="2024-06-06T00:00:00"/>
    <d v="2024-10-24T00:00:00"/>
    <d v="2024-06-06T00:00:00"/>
    <d v="2024-10-24T00:00:00"/>
    <s v="Completed"/>
    <n v="100"/>
    <n v="26588427"/>
    <m/>
    <s v="2024-06-06T10:21:00"/>
    <s v="2024-06-06T10:21:00"/>
    <s v="system@alrashdeng.ae"/>
    <n v="1"/>
    <b v="1"/>
    <s v="Critical Phase"/>
    <n v="0"/>
    <m/>
    <x v="0"/>
    <x v="0"/>
  </r>
  <r>
    <s v="PH-PRJ-001-04"/>
    <x v="0"/>
    <x v="3"/>
    <d v="2024-10-24T00:00:00"/>
    <d v="2025-04-17T00:00:00"/>
    <d v="2024-10-24T00:00:00"/>
    <d v="2025-04-17T00:00:00"/>
    <s v="Completed"/>
    <n v="100"/>
    <n v="33235534"/>
    <m/>
    <s v="2024-10-24T13:30:00"/>
    <s v="2024-10-24T13:30:00"/>
    <s v="system@alrashdeng.ae"/>
    <n v="1"/>
    <b v="1"/>
    <m/>
    <n v="0"/>
    <m/>
    <x v="0"/>
    <x v="0"/>
  </r>
  <r>
    <s v="PH-PRJ-001-05"/>
    <x v="0"/>
    <x v="4"/>
    <d v="2025-04-17T00:00:00"/>
    <d v="2026-02-03T00:00:00"/>
    <d v="2025-04-17T00:00:00"/>
    <d v="2026-02-03T00:00:00"/>
    <s v="Completed"/>
    <n v="100"/>
    <n v="55392556"/>
    <m/>
    <s v="2025-04-17T07:32:00"/>
    <s v="2025-04-17T07:32:00"/>
    <s v="system@alrashdeng.ae"/>
    <n v="1"/>
    <b v="1"/>
    <s v="Critical Phase"/>
    <n v="0"/>
    <m/>
    <x v="0"/>
    <x v="0"/>
  </r>
  <r>
    <s v="PH-PRJ-001-06"/>
    <x v="0"/>
    <x v="5"/>
    <d v="2026-02-03T00:00:00"/>
    <d v="2026-05-31T00:00:00"/>
    <d v="2026-02-03T00:00:00"/>
    <m/>
    <s v="In Progress"/>
    <n v="74"/>
    <n v="22157022"/>
    <m/>
    <s v="2026-02-03T17:03:00"/>
    <s v="2026-02-03T17:03:00"/>
    <s v="system@alrashdeng.ae"/>
    <n v="1"/>
    <b v="1"/>
    <m/>
    <d v="2026-09-29T00:00:00"/>
    <n v="121"/>
    <x v="1"/>
    <x v="1"/>
  </r>
  <r>
    <s v="PH-PRJ-001-07"/>
    <x v="0"/>
    <x v="6"/>
    <d v="2026-05-31T00:00:00"/>
    <d v="2026-09-01T00:00:00"/>
    <m/>
    <m/>
    <s v="Not Started"/>
    <n v="0"/>
    <n v="17725618"/>
    <m/>
    <s v="2026-05-31T11:07:00"/>
    <s v="2026-05-31T11:07:00"/>
    <s v="system@alrashdeng.ae"/>
    <n v="1"/>
    <b v="1"/>
    <m/>
    <m/>
    <n v="28"/>
    <x v="1"/>
    <x v="2"/>
  </r>
  <r>
    <s v="PH-PRJ-001-08"/>
    <x v="0"/>
    <x v="7"/>
    <d v="2026-09-01T00:00:00"/>
    <d v="2026-12-27T00:00:00"/>
    <m/>
    <m/>
    <s v="Not Started"/>
    <n v="0"/>
    <n v="22157022"/>
    <m/>
    <s v="2026-09-01T11:23:00"/>
    <s v="2026-09-01T11:23:00"/>
    <s v="system@alrashdeng.ae"/>
    <n v="1"/>
    <b v="1"/>
    <m/>
    <m/>
    <n v="-89"/>
    <x v="0"/>
    <x v="0"/>
  </r>
  <r>
    <s v="PH-PRJ-001-09"/>
    <x v="0"/>
    <x v="8"/>
    <d v="2026-12-27T00:00:00"/>
    <d v="2027-01-31T00:00:00"/>
    <m/>
    <m/>
    <s v="Not Started"/>
    <n v="0"/>
    <n v="6647106"/>
    <m/>
    <s v="2026-12-27T11:22:00"/>
    <s v="2026-12-27T11:22:00"/>
    <s v="system@alrashdeng.ae"/>
    <n v="1"/>
    <b v="1"/>
    <m/>
    <m/>
    <n v="-124"/>
    <x v="0"/>
    <x v="0"/>
  </r>
  <r>
    <s v="PH-PRJ-001-10"/>
    <x v="0"/>
    <x v="9"/>
    <d v="2027-01-31T00:00:00"/>
    <d v="2027-02-23T00:00:00"/>
    <m/>
    <m/>
    <s v="Not Started"/>
    <n v="0"/>
    <n v="4431404"/>
    <m/>
    <s v="2027-01-31T13:15:00"/>
    <s v="2027-01-31T13:15:00"/>
    <s v="system@alrashdeng.ae"/>
    <n v="1"/>
    <b v="1"/>
    <m/>
    <m/>
    <n v="-147"/>
    <x v="0"/>
    <x v="0"/>
  </r>
  <r>
    <s v="PH-PRJ-002-01"/>
    <x v="1"/>
    <x v="0"/>
    <d v="2021-06-08T00:00:00"/>
    <d v="2021-07-18T00:00:00"/>
    <d v="2021-06-08T00:00:00"/>
    <d v="2021-07-18T00:00:00"/>
    <s v="Completed"/>
    <n v="100"/>
    <n v="6323773"/>
    <m/>
    <s v="2021-06-08T12:57:00"/>
    <s v="2021-06-08T12:57:00"/>
    <s v="system@alrashdeng.ae"/>
    <n v="1"/>
    <b v="1"/>
    <m/>
    <n v="0"/>
    <m/>
    <x v="0"/>
    <x v="0"/>
  </r>
  <r>
    <s v="PH-PRJ-002-02"/>
    <x v="1"/>
    <x v="1"/>
    <d v="2021-07-18T00:00:00"/>
    <d v="2021-10-07T00:00:00"/>
    <d v="2021-07-18T00:00:00"/>
    <d v="2021-10-07T00:00:00"/>
    <s v="Completed"/>
    <n v="100"/>
    <n v="12647547"/>
    <m/>
    <s v="2021-07-18T07:11:00"/>
    <s v="2021-07-18T07:11:00"/>
    <s v="system@alrashdeng.ae"/>
    <n v="1"/>
    <b v="1"/>
    <m/>
    <n v="0"/>
    <m/>
    <x v="0"/>
    <x v="0"/>
  </r>
  <r>
    <s v="PH-PRJ-002-03"/>
    <x v="1"/>
    <x v="2"/>
    <d v="2021-10-07T00:00:00"/>
    <d v="2022-01-12T00:00:00"/>
    <d v="2021-10-07T00:00:00"/>
    <d v="2022-01-12T00:00:00"/>
    <s v="Completed"/>
    <n v="100"/>
    <n v="15177057"/>
    <m/>
    <s v="2021-10-07T07:00:00"/>
    <s v="2021-10-07T07:00:00"/>
    <s v="system@alrashdeng.ae"/>
    <n v="1"/>
    <b v="1"/>
    <s v="Critical Phase"/>
    <n v="0"/>
    <m/>
    <x v="0"/>
    <x v="0"/>
  </r>
  <r>
    <s v="PH-PRJ-002-04"/>
    <x v="1"/>
    <x v="3"/>
    <d v="2022-01-12T00:00:00"/>
    <d v="2022-05-13T00:00:00"/>
    <d v="2022-01-12T00:00:00"/>
    <d v="2022-05-13T00:00:00"/>
    <s v="Completed"/>
    <n v="100"/>
    <n v="18971321"/>
    <m/>
    <s v="2022-01-12T07:42:00"/>
    <s v="2022-01-12T07:42:00"/>
    <s v="system@alrashdeng.ae"/>
    <n v="1"/>
    <b v="1"/>
    <m/>
    <n v="0"/>
    <m/>
    <x v="0"/>
    <x v="0"/>
  </r>
  <r>
    <s v="PH-PRJ-002-05"/>
    <x v="1"/>
    <x v="4"/>
    <d v="2022-05-13T00:00:00"/>
    <d v="2022-12-01T00:00:00"/>
    <d v="2022-05-13T00:00:00"/>
    <d v="2022-12-01T00:00:00"/>
    <s v="Completed"/>
    <n v="100"/>
    <n v="31618869"/>
    <m/>
    <s v="2022-05-13T12:13:00"/>
    <s v="2022-05-13T12:13:00"/>
    <s v="system@alrashdeng.ae"/>
    <n v="1"/>
    <b v="1"/>
    <s v="Critical Phase"/>
    <n v="0"/>
    <m/>
    <x v="0"/>
    <x v="0"/>
  </r>
  <r>
    <s v="PH-PRJ-002-06"/>
    <x v="1"/>
    <x v="5"/>
    <d v="2022-12-01T00:00:00"/>
    <d v="2023-02-20T00:00:00"/>
    <d v="2022-12-01T00:00:00"/>
    <d v="2023-02-20T00:00:00"/>
    <s v="Completed"/>
    <n v="100"/>
    <n v="12647547"/>
    <m/>
    <s v="2022-12-01T11:30:00"/>
    <s v="2022-12-01T11:30:00"/>
    <s v="system@alrashdeng.ae"/>
    <n v="1"/>
    <b v="1"/>
    <m/>
    <n v="0"/>
    <m/>
    <x v="0"/>
    <x v="0"/>
  </r>
  <r>
    <s v="PH-PRJ-002-07"/>
    <x v="1"/>
    <x v="6"/>
    <d v="2023-02-20T00:00:00"/>
    <d v="2023-04-25T00:00:00"/>
    <d v="2023-02-20T00:00:00"/>
    <d v="2023-04-25T00:00:00"/>
    <s v="Completed"/>
    <n v="100"/>
    <n v="10118038"/>
    <m/>
    <s v="2023-02-20T11:58:00"/>
    <s v="2023-02-20T11:58:00"/>
    <s v="system@alrashdeng.ae"/>
    <n v="1"/>
    <b v="1"/>
    <m/>
    <n v="0"/>
    <m/>
    <x v="0"/>
    <x v="0"/>
  </r>
  <r>
    <s v="PH-PRJ-002-08"/>
    <x v="1"/>
    <x v="7"/>
    <d v="2023-04-25T00:00:00"/>
    <d v="2023-07-15T00:00:00"/>
    <d v="2023-04-25T00:00:00"/>
    <d v="2023-07-15T00:00:00"/>
    <s v="Completed"/>
    <n v="100"/>
    <n v="12647547"/>
    <m/>
    <s v="2023-04-25T16:06:00"/>
    <s v="2023-04-25T16:06:00"/>
    <s v="system@alrashdeng.ae"/>
    <n v="1"/>
    <b v="1"/>
    <m/>
    <n v="0"/>
    <m/>
    <x v="0"/>
    <x v="0"/>
  </r>
  <r>
    <s v="PH-PRJ-002-09"/>
    <x v="1"/>
    <x v="8"/>
    <d v="2023-07-15T00:00:00"/>
    <d v="2023-08-08T00:00:00"/>
    <d v="2023-07-15T00:00:00"/>
    <d v="2023-08-08T00:00:00"/>
    <s v="Completed"/>
    <n v="100"/>
    <n v="3794264"/>
    <m/>
    <s v="2023-07-15T13:11:00"/>
    <s v="2023-07-15T13:11:00"/>
    <s v="system@alrashdeng.ae"/>
    <n v="1"/>
    <b v="1"/>
    <m/>
    <n v="0"/>
    <m/>
    <x v="0"/>
    <x v="0"/>
  </r>
  <r>
    <s v="PH-PRJ-002-10"/>
    <x v="1"/>
    <x v="9"/>
    <d v="2023-08-08T00:00:00"/>
    <d v="2023-08-24T00:00:00"/>
    <d v="2023-08-08T00:00:00"/>
    <d v="2023-08-24T00:00:00"/>
    <s v="Completed"/>
    <n v="100"/>
    <n v="2529509"/>
    <m/>
    <s v="2023-08-08T11:31:00"/>
    <s v="2023-08-08T11:31:00"/>
    <s v="system@alrashdeng.ae"/>
    <n v="1"/>
    <b v="1"/>
    <m/>
    <n v="0"/>
    <m/>
    <x v="0"/>
    <x v="0"/>
  </r>
  <r>
    <s v="PH-PRJ-003-01"/>
    <x v="2"/>
    <x v="0"/>
    <d v="2021-07-10T00:00:00"/>
    <d v="2021-09-09T00:00:00"/>
    <d v="2021-07-10T00:00:00"/>
    <d v="2021-09-09T00:00:00"/>
    <s v="Completed"/>
    <n v="100"/>
    <n v="19787589"/>
    <m/>
    <s v="2021-07-10T12:21:00"/>
    <s v="2021-07-10T12:21:00"/>
    <s v="system@alrashdeng.ae"/>
    <n v="1"/>
    <b v="1"/>
    <m/>
    <n v="0"/>
    <m/>
    <x v="0"/>
    <x v="0"/>
  </r>
  <r>
    <s v="PH-PRJ-003-02"/>
    <x v="2"/>
    <x v="1"/>
    <d v="2021-09-09T00:00:00"/>
    <d v="2022-01-10T00:00:00"/>
    <d v="2021-09-09T00:00:00"/>
    <d v="2022-01-10T00:00:00"/>
    <s v="Completed"/>
    <n v="100"/>
    <n v="39575178"/>
    <m/>
    <s v="2021-09-09T11:07:00"/>
    <s v="2021-09-09T11:07:00"/>
    <s v="system@alrashdeng.ae"/>
    <n v="1"/>
    <b v="1"/>
    <m/>
    <n v="0"/>
    <m/>
    <x v="0"/>
    <x v="0"/>
  </r>
  <r>
    <s v="PH-PRJ-003-03"/>
    <x v="2"/>
    <x v="2"/>
    <d v="2022-01-10T00:00:00"/>
    <d v="2022-06-06T00:00:00"/>
    <d v="2022-01-10T00:00:00"/>
    <d v="2022-06-06T00:00:00"/>
    <s v="Completed"/>
    <n v="100"/>
    <n v="47490213"/>
    <m/>
    <s v="2022-01-10T08:42:00"/>
    <s v="2022-01-10T08:42:00"/>
    <s v="system@alrashdeng.ae"/>
    <n v="1"/>
    <b v="1"/>
    <s v="Critical Phase"/>
    <n v="0"/>
    <m/>
    <x v="0"/>
    <x v="0"/>
  </r>
  <r>
    <s v="PH-PRJ-003-04"/>
    <x v="2"/>
    <x v="3"/>
    <d v="2022-06-06T00:00:00"/>
    <d v="2022-12-07T00:00:00"/>
    <d v="2022-06-06T00:00:00"/>
    <d v="2022-12-07T00:00:00"/>
    <s v="Completed"/>
    <n v="100"/>
    <n v="59362767"/>
    <m/>
    <s v="2022-06-06T07:43:00"/>
    <s v="2022-06-06T07:43:00"/>
    <s v="system@alrashdeng.ae"/>
    <n v="1"/>
    <b v="1"/>
    <m/>
    <n v="0"/>
    <m/>
    <x v="0"/>
    <x v="0"/>
  </r>
  <r>
    <s v="PH-PRJ-003-05"/>
    <x v="2"/>
    <x v="4"/>
    <d v="2022-12-07T00:00:00"/>
    <d v="2023-10-10T00:00:00"/>
    <d v="2022-12-07T00:00:00"/>
    <d v="2023-10-10T00:00:00"/>
    <s v="Completed"/>
    <n v="100"/>
    <n v="98937945"/>
    <m/>
    <s v="2022-12-07T15:49:00"/>
    <s v="2022-12-07T15:49:00"/>
    <s v="system@alrashdeng.ae"/>
    <n v="1"/>
    <b v="1"/>
    <s v="Critical Phase"/>
    <n v="0"/>
    <m/>
    <x v="0"/>
    <x v="0"/>
  </r>
  <r>
    <s v="PH-PRJ-003-06"/>
    <x v="2"/>
    <x v="5"/>
    <d v="2023-10-10T00:00:00"/>
    <d v="2024-02-10T00:00:00"/>
    <d v="2023-10-10T00:00:00"/>
    <d v="2024-02-10T00:00:00"/>
    <s v="Completed"/>
    <n v="100"/>
    <n v="39575178"/>
    <m/>
    <s v="2023-10-10T09:21:00"/>
    <s v="2023-10-10T09:21:00"/>
    <s v="system@alrashdeng.ae"/>
    <n v="1"/>
    <b v="1"/>
    <m/>
    <n v="0"/>
    <m/>
    <x v="0"/>
    <x v="0"/>
  </r>
  <r>
    <s v="PH-PRJ-003-07"/>
    <x v="2"/>
    <x v="6"/>
    <d v="2024-02-10T00:00:00"/>
    <d v="2024-05-18T00:00:00"/>
    <d v="2024-02-10T00:00:00"/>
    <d v="2024-05-18T00:00:00"/>
    <s v="Completed"/>
    <n v="100"/>
    <n v="31660142"/>
    <m/>
    <s v="2024-02-10T12:47:00"/>
    <s v="2024-02-10T12:47:00"/>
    <s v="system@alrashdeng.ae"/>
    <n v="1"/>
    <b v="1"/>
    <m/>
    <n v="0"/>
    <m/>
    <x v="0"/>
    <x v="0"/>
  </r>
  <r>
    <s v="PH-PRJ-003-08"/>
    <x v="2"/>
    <x v="7"/>
    <d v="2024-05-18T00:00:00"/>
    <d v="2024-09-18T00:00:00"/>
    <d v="2024-05-18T00:00:00"/>
    <d v="2024-09-18T00:00:00"/>
    <s v="Completed"/>
    <n v="100"/>
    <n v="39575178"/>
    <m/>
    <s v="2024-05-18T12:47:00"/>
    <s v="2024-05-18T12:47:00"/>
    <s v="system@alrashdeng.ae"/>
    <n v="1"/>
    <b v="1"/>
    <m/>
    <n v="0"/>
    <m/>
    <x v="0"/>
    <x v="0"/>
  </r>
  <r>
    <s v="PH-PRJ-003-09"/>
    <x v="2"/>
    <x v="8"/>
    <d v="2024-09-18T00:00:00"/>
    <d v="2024-10-24T00:00:00"/>
    <d v="2024-09-18T00:00:00"/>
    <d v="2024-10-24T00:00:00"/>
    <s v="Completed"/>
    <n v="100"/>
    <n v="11872553"/>
    <m/>
    <s v="2024-09-18T16:33:00"/>
    <s v="2024-09-18T16:33:00"/>
    <s v="system@alrashdeng.ae"/>
    <n v="1"/>
    <b v="1"/>
    <m/>
    <n v="0"/>
    <m/>
    <x v="0"/>
    <x v="0"/>
  </r>
  <r>
    <s v="PH-PRJ-003-10"/>
    <x v="2"/>
    <x v="9"/>
    <d v="2024-10-24T00:00:00"/>
    <d v="2024-11-17T00:00:00"/>
    <d v="2024-10-24T00:00:00"/>
    <d v="2024-11-17T00:00:00"/>
    <s v="Completed"/>
    <n v="100"/>
    <n v="7915035"/>
    <m/>
    <s v="2024-10-24T16:23:00"/>
    <s v="2024-10-24T16:23:00"/>
    <s v="system@alrashdeng.ae"/>
    <n v="1"/>
    <b v="1"/>
    <m/>
    <n v="0"/>
    <m/>
    <x v="0"/>
    <x v="0"/>
  </r>
  <r>
    <s v="PH-PRJ-004-01"/>
    <x v="3"/>
    <x v="0"/>
    <d v="2021-04-14T00:00:00"/>
    <d v="2021-05-14T00:00:00"/>
    <d v="2021-04-14T00:00:00"/>
    <d v="2021-05-14T00:00:00"/>
    <s v="Completed"/>
    <n v="100"/>
    <n v="5919094"/>
    <m/>
    <s v="2021-04-14T10:41:00"/>
    <s v="2021-04-14T10:41:00"/>
    <s v="system@alrashdeng.ae"/>
    <n v="1"/>
    <b v="1"/>
    <m/>
    <n v="0"/>
    <m/>
    <x v="0"/>
    <x v="0"/>
  </r>
  <r>
    <s v="PH-PRJ-004-02"/>
    <x v="3"/>
    <x v="1"/>
    <d v="2021-05-14T00:00:00"/>
    <d v="2021-07-13T00:00:00"/>
    <d v="2021-05-14T00:00:00"/>
    <d v="2021-07-13T00:00:00"/>
    <s v="Completed"/>
    <n v="100"/>
    <n v="11838189"/>
    <m/>
    <s v="2021-05-14T11:13:00"/>
    <s v="2021-05-14T11:13:00"/>
    <s v="system@alrashdeng.ae"/>
    <n v="1"/>
    <b v="1"/>
    <m/>
    <n v="0"/>
    <m/>
    <x v="0"/>
    <x v="0"/>
  </r>
  <r>
    <s v="PH-PRJ-004-03"/>
    <x v="3"/>
    <x v="2"/>
    <d v="2021-07-13T00:00:00"/>
    <d v="2021-09-23T00:00:00"/>
    <d v="2021-07-13T00:00:00"/>
    <d v="2021-09-23T00:00:00"/>
    <s v="Completed"/>
    <n v="100"/>
    <n v="14205826"/>
    <m/>
    <s v="2021-07-13T16:24:00"/>
    <s v="2021-07-13T16:24:00"/>
    <s v="system@alrashdeng.ae"/>
    <n v="1"/>
    <b v="1"/>
    <s v="Critical Phase"/>
    <n v="0"/>
    <m/>
    <x v="0"/>
    <x v="0"/>
  </r>
  <r>
    <s v="PH-PRJ-004-04"/>
    <x v="3"/>
    <x v="3"/>
    <d v="2021-09-23T00:00:00"/>
    <d v="2021-12-22T00:00:00"/>
    <d v="2021-09-23T00:00:00"/>
    <d v="2021-12-22T00:00:00"/>
    <s v="Completed"/>
    <n v="100"/>
    <n v="17757283"/>
    <m/>
    <s v="2021-09-23T08:56:00"/>
    <s v="2021-09-23T08:56:00"/>
    <s v="system@alrashdeng.ae"/>
    <n v="1"/>
    <b v="1"/>
    <m/>
    <n v="0"/>
    <m/>
    <x v="0"/>
    <x v="0"/>
  </r>
  <r>
    <s v="PH-PRJ-004-05"/>
    <x v="3"/>
    <x v="4"/>
    <d v="2021-12-22T00:00:00"/>
    <d v="2022-05-21T00:00:00"/>
    <d v="2021-12-22T00:00:00"/>
    <d v="2022-05-21T00:00:00"/>
    <s v="Completed"/>
    <n v="100"/>
    <n v="29595472"/>
    <m/>
    <s v="2021-12-22T08:08:00"/>
    <s v="2021-12-22T08:08:00"/>
    <s v="system@alrashdeng.ae"/>
    <n v="1"/>
    <b v="1"/>
    <s v="Critical Phase"/>
    <n v="0"/>
    <m/>
    <x v="0"/>
    <x v="0"/>
  </r>
  <r>
    <s v="PH-PRJ-004-06"/>
    <x v="3"/>
    <x v="5"/>
    <d v="2022-05-21T00:00:00"/>
    <d v="2022-07-20T00:00:00"/>
    <d v="2022-05-21T00:00:00"/>
    <d v="2022-07-20T00:00:00"/>
    <s v="Completed"/>
    <n v="100"/>
    <n v="11838189"/>
    <m/>
    <s v="2022-05-21T17:47:00"/>
    <s v="2022-05-21T17:47:00"/>
    <s v="system@alrashdeng.ae"/>
    <n v="1"/>
    <b v="1"/>
    <m/>
    <n v="0"/>
    <m/>
    <x v="0"/>
    <x v="0"/>
  </r>
  <r>
    <s v="PH-PRJ-004-07"/>
    <x v="3"/>
    <x v="6"/>
    <d v="2022-07-20T00:00:00"/>
    <d v="2022-09-06T00:00:00"/>
    <d v="2022-07-20T00:00:00"/>
    <d v="2022-09-06T00:00:00"/>
    <s v="Completed"/>
    <n v="100"/>
    <n v="9470551"/>
    <m/>
    <s v="2022-07-20T16:07:00"/>
    <s v="2022-07-20T16:07:00"/>
    <s v="system@alrashdeng.ae"/>
    <n v="1"/>
    <b v="1"/>
    <m/>
    <n v="0"/>
    <m/>
    <x v="0"/>
    <x v="0"/>
  </r>
  <r>
    <s v="PH-PRJ-004-08"/>
    <x v="3"/>
    <x v="7"/>
    <d v="2022-09-06T00:00:00"/>
    <d v="2022-11-05T00:00:00"/>
    <d v="2022-09-06T00:00:00"/>
    <d v="2022-11-05T00:00:00"/>
    <s v="Completed"/>
    <n v="100"/>
    <n v="11838189"/>
    <m/>
    <s v="2022-09-06T07:37:00"/>
    <s v="2022-09-06T07:37:00"/>
    <s v="system@alrashdeng.ae"/>
    <n v="1"/>
    <b v="1"/>
    <m/>
    <n v="0"/>
    <m/>
    <x v="0"/>
    <x v="0"/>
  </r>
  <r>
    <s v="PH-PRJ-004-09"/>
    <x v="3"/>
    <x v="8"/>
    <d v="2022-11-05T00:00:00"/>
    <d v="2022-11-23T00:00:00"/>
    <d v="2022-11-05T00:00:00"/>
    <d v="2022-11-23T00:00:00"/>
    <s v="Completed"/>
    <n v="100"/>
    <n v="3551456"/>
    <m/>
    <s v="2022-11-05T17:52:00"/>
    <s v="2022-11-05T17:52:00"/>
    <s v="system@alrashdeng.ae"/>
    <n v="1"/>
    <b v="1"/>
    <m/>
    <n v="0"/>
    <m/>
    <x v="0"/>
    <x v="0"/>
  </r>
  <r>
    <s v="PH-PRJ-004-10"/>
    <x v="3"/>
    <x v="9"/>
    <d v="2022-11-23T00:00:00"/>
    <d v="2022-12-05T00:00:00"/>
    <d v="2022-11-23T00:00:00"/>
    <d v="2022-12-05T00:00:00"/>
    <s v="Completed"/>
    <n v="100"/>
    <n v="2367637"/>
    <m/>
    <s v="2022-11-23T10:12:00"/>
    <s v="2022-11-23T10:12:00"/>
    <s v="system@alrashdeng.ae"/>
    <n v="1"/>
    <b v="1"/>
    <m/>
    <n v="0"/>
    <m/>
    <x v="0"/>
    <x v="0"/>
  </r>
  <r>
    <s v="PH-PRJ-005-01"/>
    <x v="4"/>
    <x v="0"/>
    <d v="2020-04-08T00:00:00"/>
    <d v="2020-04-30T00:00:00"/>
    <d v="2020-04-08T00:00:00"/>
    <d v="2020-04-30T00:00:00"/>
    <s v="Completed"/>
    <n v="100"/>
    <n v="16193027"/>
    <m/>
    <s v="2020-04-08T14:59:00"/>
    <s v="2020-04-08T14:59:00"/>
    <s v="system@alrashdeng.ae"/>
    <n v="1"/>
    <b v="1"/>
    <m/>
    <n v="0"/>
    <m/>
    <x v="0"/>
    <x v="0"/>
  </r>
  <r>
    <s v="PH-PRJ-005-02"/>
    <x v="4"/>
    <x v="1"/>
    <d v="2020-04-30T00:00:00"/>
    <d v="2020-06-14T00:00:00"/>
    <d v="2020-04-30T00:00:00"/>
    <d v="2020-06-14T00:00:00"/>
    <s v="Completed"/>
    <n v="100"/>
    <n v="32386055"/>
    <m/>
    <s v="2020-04-30T08:04:00"/>
    <s v="2020-04-30T08:04:00"/>
    <s v="system@alrashdeng.ae"/>
    <n v="1"/>
    <b v="1"/>
    <m/>
    <n v="0"/>
    <m/>
    <x v="0"/>
    <x v="0"/>
  </r>
  <r>
    <s v="PH-PRJ-005-03"/>
    <x v="4"/>
    <x v="2"/>
    <d v="2020-06-14T00:00:00"/>
    <d v="2020-08-07T00:00:00"/>
    <d v="2020-06-14T00:00:00"/>
    <d v="2020-08-07T00:00:00"/>
    <s v="Completed"/>
    <n v="100"/>
    <n v="38863266"/>
    <m/>
    <s v="2020-06-14T15:39:00"/>
    <s v="2020-06-14T15:39:00"/>
    <s v="system@alrashdeng.ae"/>
    <n v="1"/>
    <b v="1"/>
    <s v="Critical Phase"/>
    <n v="0"/>
    <m/>
    <x v="0"/>
    <x v="0"/>
  </r>
  <r>
    <s v="PH-PRJ-005-04"/>
    <x v="4"/>
    <x v="3"/>
    <d v="2020-08-07T00:00:00"/>
    <d v="2020-10-13T00:00:00"/>
    <d v="2020-08-07T00:00:00"/>
    <d v="2020-10-13T00:00:00"/>
    <s v="Completed"/>
    <n v="100"/>
    <n v="48579083"/>
    <m/>
    <s v="2020-08-07T12:19:00"/>
    <s v="2020-08-07T12:19:00"/>
    <s v="system@alrashdeng.ae"/>
    <n v="1"/>
    <b v="1"/>
    <m/>
    <n v="0"/>
    <m/>
    <x v="0"/>
    <x v="0"/>
  </r>
  <r>
    <s v="PH-PRJ-005-05"/>
    <x v="4"/>
    <x v="4"/>
    <d v="2020-10-13T00:00:00"/>
    <d v="2021-02-02T00:00:00"/>
    <d v="2020-10-13T00:00:00"/>
    <d v="2021-02-02T00:00:00"/>
    <s v="Completed"/>
    <n v="100"/>
    <n v="80965138"/>
    <m/>
    <s v="2020-10-13T14:48:00"/>
    <s v="2020-10-13T14:48:00"/>
    <s v="system@alrashdeng.ae"/>
    <n v="1"/>
    <b v="1"/>
    <s v="Critical Phase"/>
    <n v="0"/>
    <m/>
    <x v="0"/>
    <x v="0"/>
  </r>
  <r>
    <s v="PH-PRJ-005-06"/>
    <x v="4"/>
    <x v="5"/>
    <d v="2021-02-02T00:00:00"/>
    <d v="2021-03-19T00:00:00"/>
    <d v="2021-02-02T00:00:00"/>
    <d v="2021-03-19T00:00:00"/>
    <s v="Completed"/>
    <n v="100"/>
    <n v="32386055"/>
    <m/>
    <s v="2021-02-02T10:34:00"/>
    <s v="2021-02-02T10:34:00"/>
    <s v="system@alrashdeng.ae"/>
    <n v="1"/>
    <b v="1"/>
    <m/>
    <n v="0"/>
    <m/>
    <x v="0"/>
    <x v="0"/>
  </r>
  <r>
    <s v="PH-PRJ-005-07"/>
    <x v="4"/>
    <x v="6"/>
    <d v="2021-03-19T00:00:00"/>
    <d v="2021-04-24T00:00:00"/>
    <d v="2021-03-19T00:00:00"/>
    <d v="2021-04-24T00:00:00"/>
    <s v="Completed"/>
    <n v="100"/>
    <n v="25908844"/>
    <m/>
    <s v="2021-03-19T09:02:00"/>
    <s v="2021-03-19T09:02:00"/>
    <s v="system@alrashdeng.ae"/>
    <n v="1"/>
    <b v="1"/>
    <m/>
    <n v="0"/>
    <m/>
    <x v="0"/>
    <x v="0"/>
  </r>
  <r>
    <s v="PH-PRJ-005-08"/>
    <x v="4"/>
    <x v="7"/>
    <d v="2021-04-24T00:00:00"/>
    <d v="2021-06-08T00:00:00"/>
    <d v="2021-04-24T00:00:00"/>
    <d v="2021-06-08T00:00:00"/>
    <s v="Completed"/>
    <n v="100"/>
    <n v="32386055"/>
    <m/>
    <s v="2021-04-24T09:12:00"/>
    <s v="2021-04-24T09:12:00"/>
    <s v="system@alrashdeng.ae"/>
    <n v="1"/>
    <b v="1"/>
    <m/>
    <n v="0"/>
    <m/>
    <x v="0"/>
    <x v="0"/>
  </r>
  <r>
    <s v="PH-PRJ-005-09"/>
    <x v="4"/>
    <x v="8"/>
    <d v="2021-06-08T00:00:00"/>
    <d v="2021-06-21T00:00:00"/>
    <d v="2021-06-08T00:00:00"/>
    <d v="2021-06-21T00:00:00"/>
    <s v="Completed"/>
    <n v="100"/>
    <n v="9715816"/>
    <m/>
    <s v="2021-06-08T13:35:00"/>
    <s v="2021-06-08T13:35:00"/>
    <s v="system@alrashdeng.ae"/>
    <n v="1"/>
    <b v="1"/>
    <m/>
    <n v="0"/>
    <m/>
    <x v="0"/>
    <x v="0"/>
  </r>
  <r>
    <s v="PH-PRJ-005-10"/>
    <x v="4"/>
    <x v="9"/>
    <d v="2021-06-21T00:00:00"/>
    <d v="2021-06-30T00:00:00"/>
    <d v="2021-06-21T00:00:00"/>
    <d v="2021-06-30T00:00:00"/>
    <s v="Completed"/>
    <n v="100"/>
    <n v="6477211"/>
    <m/>
    <s v="2021-06-21T11:57:00"/>
    <s v="2021-06-21T11:57:00"/>
    <s v="system@alrashdeng.ae"/>
    <n v="1"/>
    <b v="1"/>
    <m/>
    <n v="0"/>
    <m/>
    <x v="0"/>
    <x v="0"/>
  </r>
  <r>
    <s v="PH-PRJ-006-01"/>
    <x v="5"/>
    <x v="0"/>
    <d v="2023-02-04T00:00:00"/>
    <d v="2023-04-08T00:00:00"/>
    <d v="2023-02-04T00:00:00"/>
    <d v="2023-04-08T00:00:00"/>
    <s v="Completed"/>
    <n v="100"/>
    <n v="19090631"/>
    <m/>
    <s v="2023-02-04T15:22:00"/>
    <s v="2023-02-04T15:22:00"/>
    <s v="system@alrashdeng.ae"/>
    <n v="1"/>
    <b v="1"/>
    <m/>
    <n v="0"/>
    <m/>
    <x v="0"/>
    <x v="0"/>
  </r>
  <r>
    <s v="PH-PRJ-006-02"/>
    <x v="5"/>
    <x v="1"/>
    <d v="2023-04-08T00:00:00"/>
    <d v="2023-08-12T00:00:00"/>
    <d v="2023-04-08T00:00:00"/>
    <d v="2023-08-12T00:00:00"/>
    <s v="Completed"/>
    <n v="100"/>
    <n v="38181263"/>
    <m/>
    <s v="2023-04-08T12:28:00"/>
    <s v="2023-04-08T12:28:00"/>
    <s v="system@alrashdeng.ae"/>
    <n v="1"/>
    <b v="1"/>
    <m/>
    <n v="0"/>
    <m/>
    <x v="0"/>
    <x v="0"/>
  </r>
  <r>
    <s v="PH-PRJ-006-03"/>
    <x v="5"/>
    <x v="2"/>
    <d v="2023-08-12T00:00:00"/>
    <d v="2024-01-10T00:00:00"/>
    <d v="2023-08-12T00:00:00"/>
    <d v="2024-01-10T00:00:00"/>
    <s v="Completed"/>
    <n v="100"/>
    <n v="45817515"/>
    <m/>
    <s v="2023-08-12T17:45:00"/>
    <s v="2023-08-12T17:45:00"/>
    <s v="system@alrashdeng.ae"/>
    <n v="1"/>
    <b v="1"/>
    <s v="Critical Phase"/>
    <n v="0"/>
    <m/>
    <x v="0"/>
    <x v="0"/>
  </r>
  <r>
    <s v="PH-PRJ-006-04"/>
    <x v="5"/>
    <x v="3"/>
    <d v="2024-01-10T00:00:00"/>
    <d v="2024-07-17T00:00:00"/>
    <d v="2024-01-10T00:00:00"/>
    <d v="2024-07-17T00:00:00"/>
    <s v="Completed"/>
    <n v="100"/>
    <n v="57271894"/>
    <m/>
    <s v="2024-01-10T08:58:00"/>
    <s v="2024-01-10T08:58:00"/>
    <s v="system@alrashdeng.ae"/>
    <n v="1"/>
    <b v="1"/>
    <m/>
    <n v="0"/>
    <m/>
    <x v="0"/>
    <x v="0"/>
  </r>
  <r>
    <s v="PH-PRJ-006-05"/>
    <x v="5"/>
    <x v="4"/>
    <d v="2024-07-17T00:00:00"/>
    <d v="2025-05-28T00:00:00"/>
    <d v="2024-07-17T00:00:00"/>
    <d v="2025-05-28T00:00:00"/>
    <s v="Completed"/>
    <n v="100"/>
    <n v="95453157"/>
    <m/>
    <s v="2024-07-17T13:04:00"/>
    <s v="2024-07-17T13:04:00"/>
    <s v="system@alrashdeng.ae"/>
    <n v="1"/>
    <b v="1"/>
    <s v="Critical Phase"/>
    <n v="0"/>
    <m/>
    <x v="0"/>
    <x v="0"/>
  </r>
  <r>
    <s v="PH-PRJ-006-06"/>
    <x v="5"/>
    <x v="5"/>
    <d v="2025-05-28T00:00:00"/>
    <d v="2025-10-01T00:00:00"/>
    <d v="2025-05-28T00:00:00"/>
    <d v="2025-10-01T00:00:00"/>
    <s v="Completed"/>
    <n v="100"/>
    <n v="38181263"/>
    <m/>
    <s v="2025-05-28T14:26:00"/>
    <s v="2025-05-28T14:26:00"/>
    <s v="system@alrashdeng.ae"/>
    <n v="1"/>
    <b v="1"/>
    <m/>
    <n v="0"/>
    <m/>
    <x v="0"/>
    <x v="0"/>
  </r>
  <r>
    <s v="PH-PRJ-006-07"/>
    <x v="5"/>
    <x v="6"/>
    <d v="2025-10-01T00:00:00"/>
    <d v="2026-01-09T00:00:00"/>
    <d v="2025-10-01T00:00:00"/>
    <d v="2026-01-09T00:00:00"/>
    <s v="Completed"/>
    <n v="100"/>
    <n v="30545010"/>
    <m/>
    <s v="2025-10-01T15:59:00"/>
    <s v="2025-10-01T15:59:00"/>
    <s v="system@alrashdeng.ae"/>
    <n v="1"/>
    <b v="1"/>
    <m/>
    <n v="0"/>
    <m/>
    <x v="0"/>
    <x v="0"/>
  </r>
  <r>
    <s v="PH-PRJ-006-08"/>
    <x v="5"/>
    <x v="7"/>
    <d v="2026-01-09T00:00:00"/>
    <d v="2026-05-15T00:00:00"/>
    <d v="2026-01-09T00:00:00"/>
    <m/>
    <s v="In Progress"/>
    <n v="84"/>
    <n v="38181263"/>
    <m/>
    <s v="2026-01-09T07:10:00"/>
    <s v="2026-01-09T07:10:00"/>
    <s v="system@alrashdeng.ae"/>
    <n v="1"/>
    <b v="1"/>
    <m/>
    <m/>
    <n v="137"/>
    <x v="1"/>
    <x v="3"/>
  </r>
  <r>
    <s v="PH-PRJ-006-09"/>
    <x v="5"/>
    <x v="8"/>
    <d v="2026-05-15T00:00:00"/>
    <d v="2026-06-21T00:00:00"/>
    <m/>
    <m/>
    <s v="Not Started"/>
    <n v="0"/>
    <n v="11454378"/>
    <m/>
    <s v="2026-05-15T16:17:00"/>
    <s v="2026-05-15T16:17:00"/>
    <s v="system@alrashdeng.ae"/>
    <n v="1"/>
    <b v="1"/>
    <m/>
    <m/>
    <n v="100"/>
    <x v="1"/>
    <x v="4"/>
  </r>
  <r>
    <s v="PH-PRJ-006-10"/>
    <x v="5"/>
    <x v="9"/>
    <d v="2026-06-21T00:00:00"/>
    <d v="2026-07-16T00:00:00"/>
    <m/>
    <m/>
    <s v="Not Started"/>
    <n v="0"/>
    <n v="7636252"/>
    <m/>
    <s v="2026-06-21T09:18:00"/>
    <s v="2026-06-21T09:18:00"/>
    <s v="system@alrashdeng.ae"/>
    <n v="1"/>
    <b v="1"/>
    <m/>
    <m/>
    <n v="75"/>
    <x v="1"/>
    <x v="5"/>
  </r>
  <r>
    <s v="PH-PRJ-007-01"/>
    <x v="6"/>
    <x v="0"/>
    <d v="2024-07-19T00:00:00"/>
    <d v="2024-08-15T00:00:00"/>
    <d v="2024-07-19T00:00:00"/>
    <d v="2024-08-15T00:00:00"/>
    <s v="Completed"/>
    <n v="100"/>
    <n v="13982749"/>
    <m/>
    <s v="2024-07-19T07:36:00"/>
    <s v="2024-07-19T07:36:00"/>
    <s v="system@alrashdeng.ae"/>
    <n v="1"/>
    <b v="1"/>
    <m/>
    <n v="0"/>
    <m/>
    <x v="0"/>
    <x v="0"/>
  </r>
  <r>
    <s v="PH-PRJ-007-02"/>
    <x v="6"/>
    <x v="1"/>
    <d v="2024-08-15T00:00:00"/>
    <d v="2024-10-08T00:00:00"/>
    <d v="2024-08-15T00:00:00"/>
    <d v="2024-10-08T00:00:00"/>
    <s v="Completed"/>
    <n v="100"/>
    <n v="27965498"/>
    <m/>
    <s v="2024-08-15T07:50:00"/>
    <s v="2024-08-15T07:50:00"/>
    <s v="system@alrashdeng.ae"/>
    <n v="1"/>
    <b v="1"/>
    <m/>
    <n v="0"/>
    <m/>
    <x v="0"/>
    <x v="0"/>
  </r>
  <r>
    <s v="PH-PRJ-007-03"/>
    <x v="6"/>
    <x v="2"/>
    <d v="2024-10-08T00:00:00"/>
    <d v="2024-12-11T00:00:00"/>
    <d v="2024-10-08T00:00:00"/>
    <d v="2024-12-11T00:00:00"/>
    <s v="Completed"/>
    <n v="100"/>
    <n v="33558598"/>
    <m/>
    <s v="2024-10-08T10:47:00"/>
    <s v="2024-10-08T10:47:00"/>
    <s v="system@alrashdeng.ae"/>
    <n v="1"/>
    <b v="1"/>
    <s v="Critical Phase"/>
    <n v="0"/>
    <m/>
    <x v="0"/>
    <x v="0"/>
  </r>
  <r>
    <s v="PH-PRJ-007-04"/>
    <x v="6"/>
    <x v="3"/>
    <d v="2024-12-11T00:00:00"/>
    <d v="2025-03-02T00:00:00"/>
    <d v="2024-12-11T00:00:00"/>
    <d v="2025-03-02T00:00:00"/>
    <s v="Completed"/>
    <n v="100"/>
    <n v="41948248"/>
    <m/>
    <s v="2024-12-11T13:31:00"/>
    <s v="2024-12-11T13:31:00"/>
    <s v="system@alrashdeng.ae"/>
    <n v="1"/>
    <b v="1"/>
    <m/>
    <n v="0"/>
    <m/>
    <x v="0"/>
    <x v="0"/>
  </r>
  <r>
    <s v="PH-PRJ-007-05"/>
    <x v="6"/>
    <x v="4"/>
    <d v="2025-03-02T00:00:00"/>
    <d v="2025-07-15T00:00:00"/>
    <d v="2025-03-02T00:00:00"/>
    <d v="2025-07-15T00:00:00"/>
    <s v="Completed"/>
    <n v="100"/>
    <n v="69913747"/>
    <m/>
    <s v="2025-03-02T17:34:00"/>
    <s v="2025-03-02T17:34:00"/>
    <s v="system@alrashdeng.ae"/>
    <n v="1"/>
    <b v="1"/>
    <s v="Critical Phase"/>
    <n v="0"/>
    <m/>
    <x v="0"/>
    <x v="0"/>
  </r>
  <r>
    <s v="PH-PRJ-007-06"/>
    <x v="6"/>
    <x v="5"/>
    <d v="2025-07-15T00:00:00"/>
    <d v="2025-09-07T00:00:00"/>
    <d v="2025-07-15T00:00:00"/>
    <d v="2025-09-07T00:00:00"/>
    <s v="Completed"/>
    <n v="100"/>
    <n v="27965498"/>
    <m/>
    <s v="2025-07-15T15:04:00"/>
    <s v="2025-07-15T15:04:00"/>
    <s v="system@alrashdeng.ae"/>
    <n v="1"/>
    <b v="1"/>
    <m/>
    <n v="0"/>
    <m/>
    <x v="0"/>
    <x v="0"/>
  </r>
  <r>
    <s v="PH-PRJ-007-07"/>
    <x v="6"/>
    <x v="6"/>
    <d v="2025-09-07T00:00:00"/>
    <d v="2025-10-20T00:00:00"/>
    <d v="2025-09-07T00:00:00"/>
    <d v="2025-10-20T00:00:00"/>
    <s v="Completed"/>
    <n v="100"/>
    <n v="22372399"/>
    <m/>
    <s v="2025-09-07T09:28:00"/>
    <s v="2025-09-07T09:28:00"/>
    <s v="system@alrashdeng.ae"/>
    <n v="1"/>
    <b v="1"/>
    <m/>
    <n v="0"/>
    <m/>
    <x v="0"/>
    <x v="0"/>
  </r>
  <r>
    <s v="PH-PRJ-007-08"/>
    <x v="6"/>
    <x v="7"/>
    <d v="2025-10-20T00:00:00"/>
    <d v="2025-12-13T00:00:00"/>
    <d v="2025-10-20T00:00:00"/>
    <d v="2025-12-13T00:00:00"/>
    <s v="Completed"/>
    <n v="100"/>
    <n v="27965498"/>
    <m/>
    <s v="2025-10-20T15:24:00"/>
    <s v="2025-10-20T15:24:00"/>
    <s v="system@alrashdeng.ae"/>
    <n v="1"/>
    <b v="1"/>
    <m/>
    <n v="0"/>
    <m/>
    <x v="0"/>
    <x v="0"/>
  </r>
  <r>
    <s v="PH-PRJ-007-09"/>
    <x v="6"/>
    <x v="8"/>
    <d v="2025-12-13T00:00:00"/>
    <d v="2025-12-29T00:00:00"/>
    <d v="2025-12-13T00:00:00"/>
    <d v="2025-12-29T00:00:00"/>
    <s v="Completed"/>
    <n v="100"/>
    <n v="8389649"/>
    <m/>
    <s v="2025-12-13T15:49:00"/>
    <s v="2025-12-13T15:49:00"/>
    <s v="system@alrashdeng.ae"/>
    <n v="1"/>
    <b v="1"/>
    <m/>
    <n v="0"/>
    <m/>
    <x v="0"/>
    <x v="0"/>
  </r>
  <r>
    <s v="PH-PRJ-007-10"/>
    <x v="6"/>
    <x v="9"/>
    <d v="2025-12-29T00:00:00"/>
    <d v="2026-01-08T00:00:00"/>
    <d v="2025-12-29T00:00:00"/>
    <d v="2026-01-08T00:00:00"/>
    <s v="Completed"/>
    <n v="100"/>
    <n v="5593099"/>
    <m/>
    <s v="2025-12-29T13:25:00"/>
    <s v="2025-12-29T13:25:00"/>
    <s v="system@alrashdeng.ae"/>
    <n v="1"/>
    <b v="1"/>
    <m/>
    <n v="0"/>
    <m/>
    <x v="0"/>
    <x v="0"/>
  </r>
  <r>
    <s v="PH-PRJ-008-01"/>
    <x v="7"/>
    <x v="0"/>
    <d v="2020-10-30T00:00:00"/>
    <d v="2020-12-26T00:00:00"/>
    <d v="2020-10-30T00:00:00"/>
    <d v="2020-12-26T00:00:00"/>
    <s v="Completed"/>
    <n v="100"/>
    <n v="8178273"/>
    <m/>
    <s v="2020-10-30T16:17:00"/>
    <s v="2020-10-30T16:17:00"/>
    <s v="system@alrashdeng.ae"/>
    <n v="1"/>
    <b v="1"/>
    <m/>
    <n v="0"/>
    <m/>
    <x v="0"/>
    <x v="0"/>
  </r>
  <r>
    <s v="PH-PRJ-008-02"/>
    <x v="7"/>
    <x v="1"/>
    <d v="2020-12-26T00:00:00"/>
    <d v="2021-04-19T00:00:00"/>
    <d v="2020-12-26T00:00:00"/>
    <d v="2021-04-19T00:00:00"/>
    <s v="Completed"/>
    <n v="100"/>
    <n v="16356547"/>
    <m/>
    <s v="2020-12-26T10:11:00"/>
    <s v="2020-12-26T10:11:00"/>
    <s v="system@alrashdeng.ae"/>
    <n v="1"/>
    <b v="1"/>
    <m/>
    <n v="0"/>
    <m/>
    <x v="0"/>
    <x v="0"/>
  </r>
  <r>
    <s v="PH-PRJ-008-03"/>
    <x v="7"/>
    <x v="2"/>
    <d v="2021-04-19T00:00:00"/>
    <d v="2021-09-02T00:00:00"/>
    <d v="2021-04-19T00:00:00"/>
    <d v="2021-09-02T00:00:00"/>
    <s v="Completed"/>
    <n v="100"/>
    <n v="19627856"/>
    <m/>
    <s v="2021-04-19T07:10:00"/>
    <s v="2021-04-19T07:10:00"/>
    <s v="system@alrashdeng.ae"/>
    <n v="1"/>
    <b v="1"/>
    <s v="Critical Phase"/>
    <n v="0"/>
    <m/>
    <x v="0"/>
    <x v="0"/>
  </r>
  <r>
    <s v="PH-PRJ-008-04"/>
    <x v="7"/>
    <x v="3"/>
    <d v="2021-09-02T00:00:00"/>
    <d v="2022-02-20T00:00:00"/>
    <d v="2021-09-02T00:00:00"/>
    <d v="2022-02-20T00:00:00"/>
    <s v="Completed"/>
    <n v="100"/>
    <n v="24534820"/>
    <m/>
    <s v="2021-09-02T16:13:00"/>
    <s v="2021-09-02T16:13:00"/>
    <s v="system@alrashdeng.ae"/>
    <n v="1"/>
    <b v="1"/>
    <m/>
    <n v="0"/>
    <m/>
    <x v="0"/>
    <x v="0"/>
  </r>
  <r>
    <s v="PH-PRJ-008-05"/>
    <x v="7"/>
    <x v="4"/>
    <d v="2022-02-20T00:00:00"/>
    <d v="2022-12-02T00:00:00"/>
    <d v="2022-02-20T00:00:00"/>
    <d v="2022-12-02T00:00:00"/>
    <s v="Completed"/>
    <n v="100"/>
    <n v="40891367"/>
    <m/>
    <s v="2022-02-20T16:44:00"/>
    <s v="2022-02-20T16:44:00"/>
    <s v="system@alrashdeng.ae"/>
    <n v="1"/>
    <b v="1"/>
    <s v="Critical Phase"/>
    <n v="0"/>
    <m/>
    <x v="0"/>
    <x v="0"/>
  </r>
  <r>
    <s v="PH-PRJ-008-06"/>
    <x v="7"/>
    <x v="5"/>
    <d v="2022-12-02T00:00:00"/>
    <d v="2023-03-26T00:00:00"/>
    <d v="2022-12-02T00:00:00"/>
    <d v="2023-03-26T00:00:00"/>
    <s v="Completed"/>
    <n v="100"/>
    <n v="16356547"/>
    <m/>
    <s v="2022-12-02T07:56:00"/>
    <s v="2022-12-02T07:56:00"/>
    <s v="system@alrashdeng.ae"/>
    <n v="1"/>
    <b v="1"/>
    <m/>
    <n v="0"/>
    <m/>
    <x v="0"/>
    <x v="0"/>
  </r>
  <r>
    <s v="PH-PRJ-008-07"/>
    <x v="7"/>
    <x v="6"/>
    <d v="2023-03-26T00:00:00"/>
    <d v="2023-06-25T00:00:00"/>
    <d v="2023-03-26T00:00:00"/>
    <d v="2023-06-25T00:00:00"/>
    <s v="Completed"/>
    <n v="100"/>
    <n v="13085237"/>
    <m/>
    <s v="2023-03-26T15:29:00"/>
    <s v="2023-03-26T15:29:00"/>
    <s v="system@alrashdeng.ae"/>
    <n v="1"/>
    <b v="1"/>
    <m/>
    <n v="0"/>
    <m/>
    <x v="0"/>
    <x v="0"/>
  </r>
  <r>
    <s v="PH-PRJ-008-08"/>
    <x v="7"/>
    <x v="7"/>
    <d v="2023-06-25T00:00:00"/>
    <d v="2023-10-17T00:00:00"/>
    <d v="2023-06-25T00:00:00"/>
    <d v="2023-10-17T00:00:00"/>
    <s v="Completed"/>
    <n v="100"/>
    <n v="16356547"/>
    <m/>
    <s v="2023-06-25T15:45:00"/>
    <s v="2023-06-25T15:45:00"/>
    <s v="system@alrashdeng.ae"/>
    <n v="1"/>
    <b v="1"/>
    <m/>
    <n v="0"/>
    <m/>
    <x v="0"/>
    <x v="0"/>
  </r>
  <r>
    <s v="PH-PRJ-008-09"/>
    <x v="7"/>
    <x v="8"/>
    <d v="2023-10-17T00:00:00"/>
    <d v="2023-11-20T00:00:00"/>
    <d v="2023-10-17T00:00:00"/>
    <d v="2023-11-20T00:00:00"/>
    <s v="Completed"/>
    <n v="100"/>
    <n v="4906964"/>
    <m/>
    <s v="2023-10-17T15:16:00"/>
    <s v="2023-10-17T15:16:00"/>
    <s v="system@alrashdeng.ae"/>
    <n v="1"/>
    <b v="1"/>
    <m/>
    <n v="0"/>
    <m/>
    <x v="0"/>
    <x v="0"/>
  </r>
  <r>
    <s v="PH-PRJ-008-10"/>
    <x v="7"/>
    <x v="9"/>
    <d v="2023-11-20T00:00:00"/>
    <d v="2023-12-12T00:00:00"/>
    <d v="2023-11-20T00:00:00"/>
    <d v="2023-12-12T00:00:00"/>
    <s v="Completed"/>
    <n v="100"/>
    <n v="3271309"/>
    <m/>
    <s v="2023-11-20T11:54:00"/>
    <s v="2023-11-20T11:54:00"/>
    <s v="system@alrashdeng.ae"/>
    <n v="1"/>
    <b v="1"/>
    <m/>
    <n v="0"/>
    <m/>
    <x v="0"/>
    <x v="0"/>
  </r>
  <r>
    <s v="PH-PRJ-009-01"/>
    <x v="8"/>
    <x v="0"/>
    <d v="2021-12-14T00:00:00"/>
    <d v="2022-01-14T00:00:00"/>
    <d v="2021-12-14T00:00:00"/>
    <d v="2022-01-14T00:00:00"/>
    <s v="Completed"/>
    <n v="100"/>
    <n v="2668138"/>
    <m/>
    <s v="2021-12-14T10:18:00"/>
    <s v="2021-12-14T10:18:00"/>
    <s v="system@alrashdeng.ae"/>
    <n v="1"/>
    <b v="1"/>
    <m/>
    <n v="0"/>
    <m/>
    <x v="0"/>
    <x v="0"/>
  </r>
  <r>
    <s v="PH-PRJ-009-02"/>
    <x v="8"/>
    <x v="1"/>
    <d v="2022-01-14T00:00:00"/>
    <d v="2022-03-18T00:00:00"/>
    <d v="2022-01-14T00:00:00"/>
    <d v="2022-03-18T00:00:00"/>
    <s v="Completed"/>
    <n v="100"/>
    <n v="5336276"/>
    <m/>
    <s v="2022-01-14T11:35:00"/>
    <s v="2022-01-14T11:35:00"/>
    <s v="system@alrashdeng.ae"/>
    <n v="1"/>
    <b v="1"/>
    <m/>
    <n v="0"/>
    <m/>
    <x v="0"/>
    <x v="0"/>
  </r>
  <r>
    <s v="PH-PRJ-009-03"/>
    <x v="8"/>
    <x v="2"/>
    <d v="2022-03-18T00:00:00"/>
    <d v="2022-06-01T00:00:00"/>
    <d v="2022-03-18T00:00:00"/>
    <d v="2022-06-01T00:00:00"/>
    <s v="Completed"/>
    <n v="100"/>
    <n v="6403532"/>
    <m/>
    <s v="2022-03-18T08:10:00"/>
    <s v="2022-03-18T08:10:00"/>
    <s v="system@alrashdeng.ae"/>
    <n v="1"/>
    <b v="1"/>
    <s v="Critical Phase"/>
    <n v="0"/>
    <m/>
    <x v="0"/>
    <x v="0"/>
  </r>
  <r>
    <s v="PH-PRJ-009-04"/>
    <x v="8"/>
    <x v="3"/>
    <d v="2022-06-01T00:00:00"/>
    <d v="2022-09-03T00:00:00"/>
    <d v="2022-06-01T00:00:00"/>
    <d v="2022-09-03T00:00:00"/>
    <s v="Completed"/>
    <n v="100"/>
    <n v="8004415"/>
    <m/>
    <s v="2022-06-01T10:02:00"/>
    <s v="2022-06-01T10:02:00"/>
    <s v="system@alrashdeng.ae"/>
    <n v="1"/>
    <b v="1"/>
    <m/>
    <n v="0"/>
    <m/>
    <x v="0"/>
    <x v="0"/>
  </r>
  <r>
    <s v="PH-PRJ-009-05"/>
    <x v="8"/>
    <x v="4"/>
    <d v="2022-09-03T00:00:00"/>
    <d v="2023-02-07T00:00:00"/>
    <d v="2022-09-03T00:00:00"/>
    <d v="2023-02-07T00:00:00"/>
    <s v="Completed"/>
    <n v="100"/>
    <n v="13340691"/>
    <m/>
    <s v="2022-09-03T15:15:00"/>
    <s v="2022-09-03T15:15:00"/>
    <s v="system@alrashdeng.ae"/>
    <n v="1"/>
    <b v="1"/>
    <s v="Critical Phase"/>
    <n v="0"/>
    <m/>
    <x v="0"/>
    <x v="0"/>
  </r>
  <r>
    <s v="PH-PRJ-009-06"/>
    <x v="8"/>
    <x v="5"/>
    <d v="2023-02-07T00:00:00"/>
    <d v="2023-04-11T00:00:00"/>
    <d v="2023-02-07T00:00:00"/>
    <d v="2023-04-11T00:00:00"/>
    <s v="Completed"/>
    <n v="100"/>
    <n v="5336276"/>
    <m/>
    <s v="2023-02-07T11:02:00"/>
    <s v="2023-02-07T11:02:00"/>
    <s v="system@alrashdeng.ae"/>
    <n v="1"/>
    <b v="1"/>
    <m/>
    <n v="0"/>
    <m/>
    <x v="0"/>
    <x v="0"/>
  </r>
  <r>
    <s v="PH-PRJ-009-07"/>
    <x v="8"/>
    <x v="6"/>
    <d v="2023-04-11T00:00:00"/>
    <d v="2023-05-31T00:00:00"/>
    <d v="2023-04-11T00:00:00"/>
    <d v="2023-05-31T00:00:00"/>
    <s v="Completed"/>
    <n v="100"/>
    <n v="4269021"/>
    <m/>
    <s v="2023-04-11T17:09:00"/>
    <s v="2023-04-11T17:09:00"/>
    <s v="system@alrashdeng.ae"/>
    <n v="1"/>
    <b v="1"/>
    <m/>
    <n v="0"/>
    <m/>
    <x v="0"/>
    <x v="0"/>
  </r>
  <r>
    <s v="PH-PRJ-009-08"/>
    <x v="8"/>
    <x v="7"/>
    <d v="2023-05-31T00:00:00"/>
    <d v="2023-08-02T00:00:00"/>
    <d v="2023-05-31T00:00:00"/>
    <d v="2023-08-02T00:00:00"/>
    <s v="Completed"/>
    <n v="100"/>
    <n v="5336276"/>
    <m/>
    <s v="2023-05-31T11:59:00"/>
    <s v="2023-05-31T11:59:00"/>
    <s v="system@alrashdeng.ae"/>
    <n v="1"/>
    <b v="1"/>
    <m/>
    <n v="0"/>
    <m/>
    <x v="0"/>
    <x v="0"/>
  </r>
  <r>
    <s v="PH-PRJ-009-09"/>
    <x v="8"/>
    <x v="8"/>
    <d v="2023-08-02T00:00:00"/>
    <d v="2023-08-20T00:00:00"/>
    <d v="2023-08-02T00:00:00"/>
    <d v="2023-08-20T00:00:00"/>
    <s v="Completed"/>
    <n v="100"/>
    <n v="1600883"/>
    <m/>
    <s v="2023-08-02T09:17:00"/>
    <s v="2023-08-02T09:17:00"/>
    <s v="system@alrashdeng.ae"/>
    <n v="1"/>
    <b v="1"/>
    <m/>
    <n v="0"/>
    <m/>
    <x v="0"/>
    <x v="0"/>
  </r>
  <r>
    <s v="PH-PRJ-009-10"/>
    <x v="8"/>
    <x v="9"/>
    <d v="2023-08-20T00:00:00"/>
    <d v="2023-09-01T00:00:00"/>
    <d v="2023-08-20T00:00:00"/>
    <d v="2023-09-01T00:00:00"/>
    <s v="Completed"/>
    <n v="100"/>
    <n v="1067255"/>
    <m/>
    <s v="2023-08-20T07:41:00"/>
    <s v="2023-08-20T07:41:00"/>
    <s v="system@alrashdeng.ae"/>
    <n v="1"/>
    <b v="1"/>
    <m/>
    <n v="0"/>
    <m/>
    <x v="0"/>
    <x v="0"/>
  </r>
  <r>
    <s v="PH-PRJ-010-01"/>
    <x v="9"/>
    <x v="0"/>
    <d v="2022-04-25T00:00:00"/>
    <d v="2022-05-29T00:00:00"/>
    <d v="2022-04-25T00:00:00"/>
    <d v="2022-05-29T00:00:00"/>
    <s v="Completed"/>
    <n v="100"/>
    <n v="23715029"/>
    <m/>
    <s v="2022-04-25T10:52:00"/>
    <s v="2022-04-25T10:52:00"/>
    <s v="system@alrashdeng.ae"/>
    <n v="1"/>
    <b v="1"/>
    <m/>
    <n v="0"/>
    <m/>
    <x v="0"/>
    <x v="0"/>
  </r>
  <r>
    <s v="PH-PRJ-010-02"/>
    <x v="9"/>
    <x v="1"/>
    <d v="2022-05-29T00:00:00"/>
    <d v="2022-08-06T00:00:00"/>
    <d v="2022-05-29T00:00:00"/>
    <d v="2022-08-06T00:00:00"/>
    <s v="Completed"/>
    <n v="100"/>
    <n v="47430058"/>
    <m/>
    <s v="2022-05-29T10:34:00"/>
    <s v="2022-05-29T10:34:00"/>
    <s v="system@alrashdeng.ae"/>
    <n v="1"/>
    <b v="1"/>
    <m/>
    <n v="0"/>
    <m/>
    <x v="0"/>
    <x v="0"/>
  </r>
  <r>
    <s v="PH-PRJ-010-03"/>
    <x v="9"/>
    <x v="2"/>
    <d v="2022-08-06T00:00:00"/>
    <d v="2022-10-27T00:00:00"/>
    <d v="2022-08-06T00:00:00"/>
    <d v="2022-10-27T00:00:00"/>
    <s v="Completed"/>
    <n v="100"/>
    <n v="56916069"/>
    <m/>
    <s v="2022-08-06T08:00:00"/>
    <s v="2022-08-06T08:00:00"/>
    <s v="system@alrashdeng.ae"/>
    <n v="1"/>
    <b v="1"/>
    <s v="Critical Phase"/>
    <n v="0"/>
    <m/>
    <x v="0"/>
    <x v="0"/>
  </r>
  <r>
    <s v="PH-PRJ-010-04"/>
    <x v="9"/>
    <x v="3"/>
    <d v="2022-10-27T00:00:00"/>
    <d v="2023-02-07T00:00:00"/>
    <d v="2022-10-27T00:00:00"/>
    <d v="2023-02-07T00:00:00"/>
    <s v="Completed"/>
    <n v="100"/>
    <n v="71145087"/>
    <m/>
    <s v="2022-10-27T17:22:00"/>
    <s v="2022-10-27T17:22:00"/>
    <s v="system@alrashdeng.ae"/>
    <n v="1"/>
    <b v="1"/>
    <m/>
    <n v="0"/>
    <m/>
    <x v="0"/>
    <x v="0"/>
  </r>
  <r>
    <s v="PH-PRJ-010-05"/>
    <x v="9"/>
    <x v="4"/>
    <d v="2023-02-07T00:00:00"/>
    <d v="2023-07-29T00:00:00"/>
    <d v="2023-02-07T00:00:00"/>
    <d v="2023-07-29T00:00:00"/>
    <s v="Completed"/>
    <n v="100"/>
    <n v="118575145"/>
    <m/>
    <s v="2023-02-07T17:38:00"/>
    <s v="2023-02-07T17:38:00"/>
    <s v="system@alrashdeng.ae"/>
    <n v="1"/>
    <b v="1"/>
    <s v="Critical Phase"/>
    <n v="0"/>
    <m/>
    <x v="0"/>
    <x v="0"/>
  </r>
  <r>
    <s v="PH-PRJ-010-06"/>
    <x v="9"/>
    <x v="5"/>
    <d v="2023-07-29T00:00:00"/>
    <d v="2023-10-06T00:00:00"/>
    <d v="2023-07-29T00:00:00"/>
    <d v="2023-10-06T00:00:00"/>
    <s v="Completed"/>
    <n v="100"/>
    <n v="47430058"/>
    <m/>
    <s v="2023-07-29T12:20:00"/>
    <s v="2023-07-29T12:20:00"/>
    <s v="system@alrashdeng.ae"/>
    <n v="1"/>
    <b v="1"/>
    <m/>
    <n v="0"/>
    <m/>
    <x v="0"/>
    <x v="0"/>
  </r>
  <r>
    <s v="PH-PRJ-010-07"/>
    <x v="9"/>
    <x v="6"/>
    <d v="2023-10-06T00:00:00"/>
    <d v="2023-11-30T00:00:00"/>
    <d v="2023-10-06T00:00:00"/>
    <d v="2023-11-30T00:00:00"/>
    <s v="Completed"/>
    <n v="100"/>
    <n v="37944046"/>
    <m/>
    <s v="2023-10-06T08:45:00"/>
    <s v="2023-10-06T08:45:00"/>
    <s v="system@alrashdeng.ae"/>
    <n v="1"/>
    <b v="1"/>
    <m/>
    <n v="0"/>
    <m/>
    <x v="0"/>
    <x v="0"/>
  </r>
  <r>
    <s v="PH-PRJ-010-08"/>
    <x v="9"/>
    <x v="7"/>
    <d v="2023-11-30T00:00:00"/>
    <d v="2024-02-07T00:00:00"/>
    <d v="2023-11-30T00:00:00"/>
    <d v="2024-02-07T00:00:00"/>
    <s v="Completed"/>
    <n v="100"/>
    <n v="47430058"/>
    <m/>
    <s v="2023-11-30T15:16:00"/>
    <s v="2023-11-30T15:16:00"/>
    <s v="system@alrashdeng.ae"/>
    <n v="1"/>
    <b v="1"/>
    <m/>
    <n v="0"/>
    <m/>
    <x v="0"/>
    <x v="0"/>
  </r>
  <r>
    <s v="PH-PRJ-010-09"/>
    <x v="9"/>
    <x v="8"/>
    <d v="2024-02-07T00:00:00"/>
    <d v="2024-02-27T00:00:00"/>
    <d v="2024-02-07T00:00:00"/>
    <d v="2024-02-27T00:00:00"/>
    <s v="Completed"/>
    <n v="100"/>
    <n v="14229017"/>
    <m/>
    <s v="2024-02-07T09:26:00"/>
    <s v="2024-02-07T09:26:00"/>
    <s v="system@alrashdeng.ae"/>
    <n v="1"/>
    <b v="1"/>
    <m/>
    <n v="0"/>
    <m/>
    <x v="0"/>
    <x v="0"/>
  </r>
  <r>
    <s v="PH-PRJ-010-10"/>
    <x v="9"/>
    <x v="9"/>
    <d v="2024-02-27T00:00:00"/>
    <d v="2024-03-11T00:00:00"/>
    <d v="2024-02-27T00:00:00"/>
    <d v="2024-03-11T00:00:00"/>
    <s v="Completed"/>
    <n v="100"/>
    <n v="9486011"/>
    <m/>
    <s v="2024-02-27T16:18:00"/>
    <s v="2024-02-27T16:18:00"/>
    <s v="system@alrashdeng.ae"/>
    <n v="1"/>
    <b v="1"/>
    <m/>
    <n v="0"/>
    <m/>
    <x v="0"/>
    <x v="0"/>
  </r>
  <r>
    <s v="PH-PRJ-011-01"/>
    <x v="10"/>
    <x v="0"/>
    <d v="2021-08-05T00:00:00"/>
    <d v="2021-09-07T00:00:00"/>
    <d v="2021-08-05T00:00:00"/>
    <d v="2021-09-07T00:00:00"/>
    <s v="Completed"/>
    <n v="100"/>
    <n v="9072421"/>
    <m/>
    <s v="2021-08-05T12:03:00"/>
    <s v="2021-08-05T12:03:00"/>
    <s v="system@alrashdeng.ae"/>
    <n v="1"/>
    <b v="1"/>
    <m/>
    <n v="0"/>
    <m/>
    <x v="0"/>
    <x v="0"/>
  </r>
  <r>
    <s v="PH-PRJ-011-02"/>
    <x v="10"/>
    <x v="1"/>
    <d v="2021-09-07T00:00:00"/>
    <d v="2021-11-12T00:00:00"/>
    <d v="2021-09-07T00:00:00"/>
    <d v="2021-11-12T00:00:00"/>
    <s v="Completed"/>
    <n v="100"/>
    <n v="18144843"/>
    <m/>
    <s v="2021-09-07T17:52:00"/>
    <s v="2021-09-07T17:52:00"/>
    <s v="system@alrashdeng.ae"/>
    <n v="1"/>
    <b v="1"/>
    <m/>
    <n v="0"/>
    <m/>
    <x v="0"/>
    <x v="0"/>
  </r>
  <r>
    <s v="PH-PRJ-011-03"/>
    <x v="10"/>
    <x v="2"/>
    <d v="2021-11-12T00:00:00"/>
    <d v="2022-01-30T00:00:00"/>
    <d v="2021-11-12T00:00:00"/>
    <d v="2022-01-30T00:00:00"/>
    <s v="Completed"/>
    <n v="100"/>
    <n v="21773812"/>
    <m/>
    <s v="2021-11-12T07:52:00"/>
    <s v="2021-11-12T07:52:00"/>
    <s v="system@alrashdeng.ae"/>
    <n v="1"/>
    <b v="1"/>
    <s v="Critical Phase"/>
    <n v="0"/>
    <m/>
    <x v="0"/>
    <x v="0"/>
  </r>
  <r>
    <s v="PH-PRJ-011-04"/>
    <x v="10"/>
    <x v="3"/>
    <d v="2022-01-30T00:00:00"/>
    <d v="2022-05-09T00:00:00"/>
    <d v="2022-01-30T00:00:00"/>
    <d v="2022-05-09T00:00:00"/>
    <s v="Completed"/>
    <n v="100"/>
    <n v="27217265"/>
    <m/>
    <s v="2022-01-30T12:14:00"/>
    <s v="2022-01-30T12:14:00"/>
    <s v="system@alrashdeng.ae"/>
    <n v="1"/>
    <b v="1"/>
    <m/>
    <n v="0"/>
    <m/>
    <x v="0"/>
    <x v="0"/>
  </r>
  <r>
    <s v="PH-PRJ-011-05"/>
    <x v="10"/>
    <x v="4"/>
    <d v="2022-05-09T00:00:00"/>
    <d v="2022-10-21T00:00:00"/>
    <d v="2022-05-09T00:00:00"/>
    <d v="2022-10-21T00:00:00"/>
    <s v="Completed"/>
    <n v="100"/>
    <n v="45362109"/>
    <m/>
    <s v="2022-05-09T11:11:00"/>
    <s v="2022-05-09T11:11:00"/>
    <s v="system@alrashdeng.ae"/>
    <n v="1"/>
    <b v="1"/>
    <s v="Critical Phase"/>
    <n v="0"/>
    <m/>
    <x v="0"/>
    <x v="0"/>
  </r>
  <r>
    <s v="PH-PRJ-011-06"/>
    <x v="10"/>
    <x v="5"/>
    <d v="2022-10-21T00:00:00"/>
    <d v="2022-12-26T00:00:00"/>
    <d v="2022-10-21T00:00:00"/>
    <d v="2022-12-26T00:00:00"/>
    <s v="Completed"/>
    <n v="100"/>
    <n v="18144843"/>
    <m/>
    <s v="2022-10-21T11:01:00"/>
    <s v="2022-10-21T11:01:00"/>
    <s v="system@alrashdeng.ae"/>
    <n v="1"/>
    <b v="1"/>
    <m/>
    <n v="0"/>
    <m/>
    <x v="0"/>
    <x v="0"/>
  </r>
  <r>
    <s v="PH-PRJ-011-07"/>
    <x v="10"/>
    <x v="6"/>
    <d v="2022-12-26T00:00:00"/>
    <d v="2023-02-16T00:00:00"/>
    <d v="2022-12-26T00:00:00"/>
    <d v="2023-02-16T00:00:00"/>
    <s v="Completed"/>
    <n v="100"/>
    <n v="14515875"/>
    <m/>
    <s v="2022-12-26T15:42:00"/>
    <s v="2022-12-26T15:42:00"/>
    <s v="system@alrashdeng.ae"/>
    <n v="1"/>
    <b v="1"/>
    <m/>
    <n v="0"/>
    <m/>
    <x v="0"/>
    <x v="0"/>
  </r>
  <r>
    <s v="PH-PRJ-011-08"/>
    <x v="10"/>
    <x v="7"/>
    <d v="2023-02-16T00:00:00"/>
    <d v="2023-04-23T00:00:00"/>
    <d v="2023-02-16T00:00:00"/>
    <d v="2023-04-23T00:00:00"/>
    <s v="Completed"/>
    <n v="100"/>
    <n v="18144843"/>
    <m/>
    <s v="2023-02-16T16:06:00"/>
    <s v="2023-02-16T16:06:00"/>
    <s v="system@alrashdeng.ae"/>
    <n v="1"/>
    <b v="1"/>
    <m/>
    <n v="0"/>
    <m/>
    <x v="0"/>
    <x v="0"/>
  </r>
  <r>
    <s v="PH-PRJ-011-09"/>
    <x v="10"/>
    <x v="8"/>
    <d v="2023-04-23T00:00:00"/>
    <d v="2023-05-12T00:00:00"/>
    <d v="2023-04-23T00:00:00"/>
    <d v="2023-05-12T00:00:00"/>
    <s v="Completed"/>
    <n v="100"/>
    <n v="5443453"/>
    <m/>
    <s v="2023-04-23T13:41:00"/>
    <s v="2023-04-23T13:41:00"/>
    <s v="system@alrashdeng.ae"/>
    <n v="1"/>
    <b v="1"/>
    <m/>
    <n v="0"/>
    <m/>
    <x v="0"/>
    <x v="0"/>
  </r>
  <r>
    <s v="PH-PRJ-011-10"/>
    <x v="10"/>
    <x v="9"/>
    <d v="2023-05-12T00:00:00"/>
    <d v="2023-05-25T00:00:00"/>
    <d v="2023-05-12T00:00:00"/>
    <d v="2023-05-25T00:00:00"/>
    <s v="Completed"/>
    <n v="100"/>
    <n v="3628968"/>
    <m/>
    <s v="2023-05-12T11:55:00"/>
    <s v="2023-05-12T11:55:00"/>
    <s v="system@alrashdeng.ae"/>
    <n v="1"/>
    <b v="1"/>
    <m/>
    <n v="0"/>
    <m/>
    <x v="0"/>
    <x v="0"/>
  </r>
  <r>
    <s v="PH-PRJ-012-01"/>
    <x v="11"/>
    <x v="0"/>
    <d v="2023-08-02T00:00:00"/>
    <d v="2023-09-25T00:00:00"/>
    <d v="2023-08-02T00:00:00"/>
    <d v="2023-09-25T00:00:00"/>
    <s v="Completed"/>
    <n v="100"/>
    <n v="18769427"/>
    <m/>
    <s v="2023-08-02T17:40:00"/>
    <s v="2023-08-02T17:40:00"/>
    <s v="system@alrashdeng.ae"/>
    <n v="1"/>
    <b v="1"/>
    <m/>
    <n v="0"/>
    <m/>
    <x v="0"/>
    <x v="0"/>
  </r>
  <r>
    <s v="PH-PRJ-012-02"/>
    <x v="11"/>
    <x v="1"/>
    <d v="2023-09-25T00:00:00"/>
    <d v="2024-01-11T00:00:00"/>
    <d v="2023-09-25T00:00:00"/>
    <d v="2024-01-11T00:00:00"/>
    <s v="Completed"/>
    <n v="100"/>
    <n v="37538854"/>
    <m/>
    <s v="2023-09-25T16:35:00"/>
    <s v="2023-09-25T16:35:00"/>
    <s v="system@alrashdeng.ae"/>
    <n v="1"/>
    <b v="1"/>
    <m/>
    <n v="0"/>
    <m/>
    <x v="0"/>
    <x v="0"/>
  </r>
  <r>
    <s v="PH-PRJ-012-03"/>
    <x v="11"/>
    <x v="2"/>
    <d v="2024-01-11T00:00:00"/>
    <d v="2024-05-19T00:00:00"/>
    <d v="2024-01-11T00:00:00"/>
    <d v="2024-05-19T00:00:00"/>
    <s v="Completed"/>
    <n v="100"/>
    <n v="45046625"/>
    <m/>
    <s v="2024-01-11T10:52:00"/>
    <s v="2024-01-11T10:52:00"/>
    <s v="system@alrashdeng.ae"/>
    <n v="1"/>
    <b v="1"/>
    <s v="Critical Phase"/>
    <n v="0"/>
    <m/>
    <x v="0"/>
    <x v="0"/>
  </r>
  <r>
    <s v="PH-PRJ-012-04"/>
    <x v="11"/>
    <x v="3"/>
    <d v="2024-05-19T00:00:00"/>
    <d v="2024-10-28T00:00:00"/>
    <d v="2024-05-19T00:00:00"/>
    <d v="2024-10-28T00:00:00"/>
    <s v="Completed"/>
    <n v="100"/>
    <n v="56308282"/>
    <m/>
    <s v="2024-05-19T14:14:00"/>
    <s v="2024-05-19T14:14:00"/>
    <s v="system@alrashdeng.ae"/>
    <n v="1"/>
    <b v="1"/>
    <m/>
    <n v="0"/>
    <m/>
    <x v="0"/>
    <x v="0"/>
  </r>
  <r>
    <s v="PH-PRJ-012-05"/>
    <x v="11"/>
    <x v="4"/>
    <d v="2024-10-28T00:00:00"/>
    <d v="2025-07-25T00:00:00"/>
    <d v="2024-10-28T00:00:00"/>
    <d v="2025-07-25T00:00:00"/>
    <s v="Completed"/>
    <n v="100"/>
    <n v="93847136"/>
    <m/>
    <s v="2024-10-28T12:17:00"/>
    <s v="2024-10-28T12:17:00"/>
    <s v="system@alrashdeng.ae"/>
    <n v="1"/>
    <b v="1"/>
    <s v="Critical Phase"/>
    <n v="0"/>
    <m/>
    <x v="0"/>
    <x v="0"/>
  </r>
  <r>
    <s v="PH-PRJ-012-06"/>
    <x v="11"/>
    <x v="5"/>
    <d v="2025-07-25T00:00:00"/>
    <d v="2025-11-10T00:00:00"/>
    <d v="2025-07-25T00:00:00"/>
    <d v="2025-11-10T00:00:00"/>
    <s v="Completed"/>
    <n v="100"/>
    <n v="37538854"/>
    <m/>
    <s v="2025-07-25T10:37:00"/>
    <s v="2025-07-25T10:37:00"/>
    <s v="system@alrashdeng.ae"/>
    <n v="1"/>
    <b v="1"/>
    <m/>
    <n v="0"/>
    <m/>
    <x v="0"/>
    <x v="0"/>
  </r>
  <r>
    <s v="PH-PRJ-012-07"/>
    <x v="11"/>
    <x v="6"/>
    <d v="2025-11-10T00:00:00"/>
    <d v="2026-02-04T00:00:00"/>
    <d v="2025-11-10T00:00:00"/>
    <d v="2026-02-04T00:00:00"/>
    <s v="Completed"/>
    <n v="100"/>
    <n v="30031083"/>
    <m/>
    <s v="2025-11-10T17:51:00"/>
    <s v="2025-11-10T17:51:00"/>
    <s v="system@alrashdeng.ae"/>
    <n v="1"/>
    <b v="1"/>
    <m/>
    <n v="0"/>
    <m/>
    <x v="0"/>
    <x v="0"/>
  </r>
  <r>
    <s v="PH-PRJ-012-08"/>
    <x v="11"/>
    <x v="7"/>
    <d v="2026-02-04T00:00:00"/>
    <d v="2026-05-23T00:00:00"/>
    <d v="2026-02-04T00:00:00"/>
    <m/>
    <s v="In Progress"/>
    <n v="70"/>
    <n v="37538854"/>
    <m/>
    <s v="2026-02-04T09:28:00"/>
    <s v="2026-02-04T09:28:00"/>
    <s v="system@alrashdeng.ae"/>
    <n v="1"/>
    <b v="1"/>
    <m/>
    <m/>
    <n v="129"/>
    <x v="1"/>
    <x v="6"/>
  </r>
  <r>
    <s v="PH-PRJ-012-09"/>
    <x v="11"/>
    <x v="8"/>
    <d v="2026-05-23T00:00:00"/>
    <d v="2026-06-24T00:00:00"/>
    <m/>
    <m/>
    <s v="Not Started"/>
    <n v="0"/>
    <n v="11261656"/>
    <m/>
    <s v="2026-05-23T10:46:00"/>
    <s v="2026-05-23T10:46:00"/>
    <s v="system@alrashdeng.ae"/>
    <n v="1"/>
    <b v="1"/>
    <m/>
    <m/>
    <n v="97"/>
    <x v="1"/>
    <x v="7"/>
  </r>
  <r>
    <s v="PH-PRJ-012-10"/>
    <x v="11"/>
    <x v="9"/>
    <d v="2026-06-24T00:00:00"/>
    <d v="2026-07-15T00:00:00"/>
    <m/>
    <m/>
    <s v="Not Started"/>
    <m/>
    <n v="7507770"/>
    <m/>
    <s v="2026-06-24T13:23:00"/>
    <s v="2026-06-24T13:23:00"/>
    <s v="system@alrashdeng.ae"/>
    <n v="1"/>
    <b v="1"/>
    <m/>
    <m/>
    <n v="76"/>
    <x v="1"/>
    <x v="8"/>
  </r>
  <r>
    <s v="PH-PRJ-013-01"/>
    <x v="12"/>
    <x v="0"/>
    <d v="2023-04-02T00:00:00"/>
    <d v="2023-05-06T00:00:00"/>
    <d v="2023-04-02T00:00:00"/>
    <d v="2023-05-06T00:00:00"/>
    <s v="Completed"/>
    <n v="100"/>
    <n v="16660081"/>
    <m/>
    <s v="2023-04-02T09:57:00"/>
    <s v="2023-04-02T09:57:00"/>
    <s v="system@alrashdeng.ae"/>
    <n v="1"/>
    <b v="1"/>
    <m/>
    <n v="0"/>
    <m/>
    <x v="0"/>
    <x v="0"/>
  </r>
  <r>
    <s v="PH-PRJ-013-02"/>
    <x v="12"/>
    <x v="1"/>
    <d v="2023-05-06T00:00:00"/>
    <d v="2023-07-14T00:00:00"/>
    <d v="2023-05-06T00:00:00"/>
    <d v="2023-07-14T00:00:00"/>
    <s v="Completed"/>
    <n v="100"/>
    <n v="33320162"/>
    <m/>
    <s v="2023-05-06T14:05:00"/>
    <s v="2023-05-06T14:05:00"/>
    <s v="system@alrashdeng.ae"/>
    <n v="1"/>
    <b v="1"/>
    <m/>
    <n v="0"/>
    <m/>
    <x v="0"/>
    <x v="0"/>
  </r>
  <r>
    <s v="PH-PRJ-013-03"/>
    <x v="12"/>
    <x v="2"/>
    <d v="2023-07-14T00:00:00"/>
    <d v="2023-10-04T00:00:00"/>
    <d v="2023-07-14T00:00:00"/>
    <d v="2023-10-04T00:00:00"/>
    <s v="Completed"/>
    <n v="100"/>
    <n v="39984194"/>
    <m/>
    <s v="2023-07-14T14:11:00"/>
    <s v="2023-07-14T14:11:00"/>
    <s v="system@alrashdeng.ae"/>
    <n v="1"/>
    <b v="1"/>
    <s v="Critical Phase"/>
    <n v="0"/>
    <m/>
    <x v="0"/>
    <x v="0"/>
  </r>
  <r>
    <s v="PH-PRJ-013-04"/>
    <x v="12"/>
    <x v="3"/>
    <d v="2023-10-04T00:00:00"/>
    <d v="2024-01-15T00:00:00"/>
    <d v="2023-10-04T00:00:00"/>
    <d v="2024-01-15T00:00:00"/>
    <s v="Completed"/>
    <n v="100"/>
    <n v="49980243"/>
    <m/>
    <s v="2023-10-04T14:11:00"/>
    <s v="2023-10-04T14:11:00"/>
    <s v="system@alrashdeng.ae"/>
    <n v="1"/>
    <b v="1"/>
    <m/>
    <n v="0"/>
    <m/>
    <x v="0"/>
    <x v="0"/>
  </r>
  <r>
    <s v="PH-PRJ-013-05"/>
    <x v="12"/>
    <x v="4"/>
    <d v="2024-01-15T00:00:00"/>
    <d v="2024-07-05T00:00:00"/>
    <d v="2024-01-15T00:00:00"/>
    <d v="2024-07-05T00:00:00"/>
    <s v="Completed"/>
    <n v="100"/>
    <n v="83300405"/>
    <m/>
    <s v="2024-01-15T09:12:00"/>
    <s v="2024-01-15T09:12:00"/>
    <s v="system@alrashdeng.ae"/>
    <n v="1"/>
    <b v="1"/>
    <s v="Critical Phase"/>
    <n v="0"/>
    <m/>
    <x v="0"/>
    <x v="0"/>
  </r>
  <r>
    <s v="PH-PRJ-013-06"/>
    <x v="12"/>
    <x v="5"/>
    <d v="2024-07-05T00:00:00"/>
    <d v="2024-09-12T00:00:00"/>
    <d v="2024-07-05T00:00:00"/>
    <d v="2024-09-12T00:00:00"/>
    <s v="Completed"/>
    <n v="100"/>
    <n v="33320162"/>
    <m/>
    <s v="2024-07-05T16:31:00"/>
    <s v="2024-07-05T16:31:00"/>
    <s v="system@alrashdeng.ae"/>
    <n v="1"/>
    <b v="1"/>
    <m/>
    <n v="0"/>
    <m/>
    <x v="0"/>
    <x v="0"/>
  </r>
  <r>
    <s v="PH-PRJ-013-07"/>
    <x v="12"/>
    <x v="6"/>
    <d v="2024-09-12T00:00:00"/>
    <d v="2024-11-06T00:00:00"/>
    <d v="2024-09-12T00:00:00"/>
    <d v="2024-11-06T00:00:00"/>
    <s v="Completed"/>
    <n v="100"/>
    <n v="26656129"/>
    <m/>
    <s v="2024-09-12T09:41:00"/>
    <s v="2024-09-12T09:41:00"/>
    <s v="system@alrashdeng.ae"/>
    <n v="1"/>
    <b v="1"/>
    <m/>
    <n v="0"/>
    <m/>
    <x v="0"/>
    <x v="0"/>
  </r>
  <r>
    <s v="PH-PRJ-013-08"/>
    <x v="12"/>
    <x v="7"/>
    <d v="2024-11-06T00:00:00"/>
    <d v="2025-01-14T00:00:00"/>
    <d v="2024-11-06T00:00:00"/>
    <d v="2025-01-14T00:00:00"/>
    <s v="Completed"/>
    <n v="100"/>
    <n v="33320162"/>
    <m/>
    <s v="2024-11-06T11:01:00"/>
    <s v="2024-11-06T11:01:00"/>
    <s v="system@alrashdeng.ae"/>
    <n v="1"/>
    <b v="1"/>
    <m/>
    <n v="0"/>
    <m/>
    <x v="0"/>
    <x v="0"/>
  </r>
  <r>
    <s v="PH-PRJ-013-09"/>
    <x v="12"/>
    <x v="8"/>
    <d v="2025-01-14T00:00:00"/>
    <d v="2025-02-03T00:00:00"/>
    <d v="2025-01-14T00:00:00"/>
    <d v="2025-02-03T00:00:00"/>
    <s v="Completed"/>
    <n v="100"/>
    <n v="9996048"/>
    <m/>
    <s v="2025-01-14T11:10:00"/>
    <s v="2025-01-14T11:10:00"/>
    <s v="system@alrashdeng.ae"/>
    <n v="1"/>
    <b v="1"/>
    <m/>
    <n v="0"/>
    <m/>
    <x v="0"/>
    <x v="0"/>
  </r>
  <r>
    <s v="PH-PRJ-013-10"/>
    <x v="12"/>
    <x v="9"/>
    <d v="2025-02-03T00:00:00"/>
    <d v="2025-02-16T00:00:00"/>
    <d v="2025-02-03T00:00:00"/>
    <d v="2025-02-16T00:00:00"/>
    <s v="Completed"/>
    <n v="100"/>
    <n v="6664032"/>
    <m/>
    <s v="2025-02-03T09:52:00"/>
    <s v="2025-02-03T09:52:00"/>
    <s v="system@alrashdeng.ae"/>
    <n v="1"/>
    <b v="1"/>
    <m/>
    <n v="0"/>
    <m/>
    <x v="0"/>
    <x v="0"/>
  </r>
  <r>
    <s v="PH-PRJ-014-01"/>
    <x v="13"/>
    <x v="0"/>
    <d v="2021-01-29T00:00:00"/>
    <d v="2021-03-18T00:00:00"/>
    <d v="2021-01-29T00:00:00"/>
    <d v="2021-03-18T00:00:00"/>
    <s v="Completed"/>
    <n v="100"/>
    <n v="581791"/>
    <m/>
    <s v="2021-01-29T13:43:00"/>
    <s v="2021-01-29T13:43:00"/>
    <s v="system@alrashdeng.ae"/>
    <n v="1"/>
    <b v="1"/>
    <m/>
    <n v="0"/>
    <m/>
    <x v="0"/>
    <x v="0"/>
  </r>
  <r>
    <s v="PH-PRJ-014-02"/>
    <x v="13"/>
    <x v="1"/>
    <d v="2021-03-18T00:00:00"/>
    <d v="2021-06-22T00:00:00"/>
    <d v="2021-03-18T00:00:00"/>
    <d v="2021-06-22T00:00:00"/>
    <s v="Completed"/>
    <n v="100"/>
    <n v="1163583"/>
    <m/>
    <s v="2021-03-18T16:12:00"/>
    <s v="2021-03-18T16:12:00"/>
    <s v="system@alrashdeng.ae"/>
    <n v="1"/>
    <b v="1"/>
    <m/>
    <n v="0"/>
    <m/>
    <x v="0"/>
    <x v="0"/>
  </r>
  <r>
    <s v="PH-PRJ-014-03"/>
    <x v="13"/>
    <x v="2"/>
    <d v="2021-06-22T00:00:00"/>
    <d v="2021-10-15T00:00:00"/>
    <d v="2021-06-22T00:00:00"/>
    <d v="2021-10-15T00:00:00"/>
    <s v="Completed"/>
    <n v="100"/>
    <n v="1396300"/>
    <m/>
    <s v="2021-06-22T08:09:00"/>
    <s v="2021-06-22T08:09:00"/>
    <s v="system@alrashdeng.ae"/>
    <n v="1"/>
    <b v="1"/>
    <s v="Critical Phase"/>
    <n v="0"/>
    <m/>
    <x v="0"/>
    <x v="0"/>
  </r>
  <r>
    <s v="PH-PRJ-014-04"/>
    <x v="13"/>
    <x v="3"/>
    <d v="2021-10-15T00:00:00"/>
    <d v="2022-03-08T00:00:00"/>
    <d v="2021-10-15T00:00:00"/>
    <d v="2022-03-08T00:00:00"/>
    <s v="Completed"/>
    <n v="100"/>
    <n v="1745375"/>
    <m/>
    <s v="2021-10-15T08:27:00"/>
    <s v="2021-10-15T08:27:00"/>
    <s v="system@alrashdeng.ae"/>
    <n v="1"/>
    <b v="1"/>
    <m/>
    <n v="0"/>
    <m/>
    <x v="0"/>
    <x v="0"/>
  </r>
  <r>
    <s v="PH-PRJ-014-05"/>
    <x v="13"/>
    <x v="4"/>
    <d v="2022-03-08T00:00:00"/>
    <d v="2022-11-03T00:00:00"/>
    <d v="2022-03-08T00:00:00"/>
    <d v="2022-11-03T00:00:00"/>
    <s v="Completed"/>
    <n v="100"/>
    <n v="2908959"/>
    <m/>
    <s v="2022-03-08T10:29:00"/>
    <s v="2022-03-08T10:29:00"/>
    <s v="system@alrashdeng.ae"/>
    <n v="1"/>
    <b v="1"/>
    <s v="Critical Phase"/>
    <n v="0"/>
    <m/>
    <x v="0"/>
    <x v="0"/>
  </r>
  <r>
    <s v="PH-PRJ-014-06"/>
    <x v="13"/>
    <x v="5"/>
    <d v="2022-11-03T00:00:00"/>
    <d v="2023-02-07T00:00:00"/>
    <d v="2022-11-03T00:00:00"/>
    <d v="2023-02-07T00:00:00"/>
    <s v="Completed"/>
    <n v="100"/>
    <n v="1163583"/>
    <m/>
    <s v="2022-11-03T17:25:00"/>
    <s v="2022-11-03T17:25:00"/>
    <s v="system@alrashdeng.ae"/>
    <n v="1"/>
    <b v="1"/>
    <m/>
    <n v="0"/>
    <m/>
    <x v="0"/>
    <x v="0"/>
  </r>
  <r>
    <s v="PH-PRJ-014-07"/>
    <x v="13"/>
    <x v="6"/>
    <d v="2023-02-07T00:00:00"/>
    <d v="2023-04-24T00:00:00"/>
    <d v="2023-02-07T00:00:00"/>
    <d v="2023-04-24T00:00:00"/>
    <s v="Completed"/>
    <n v="100"/>
    <n v="930866"/>
    <m/>
    <s v="2023-02-07T08:46:00"/>
    <s v="2023-02-07T08:46:00"/>
    <s v="system@alrashdeng.ae"/>
    <n v="1"/>
    <b v="1"/>
    <m/>
    <n v="0"/>
    <m/>
    <x v="0"/>
    <x v="0"/>
  </r>
  <r>
    <s v="PH-PRJ-014-08"/>
    <x v="13"/>
    <x v="7"/>
    <d v="2023-04-24T00:00:00"/>
    <d v="2023-07-29T00:00:00"/>
    <d v="2023-04-24T00:00:00"/>
    <d v="2023-07-29T00:00:00"/>
    <s v="Completed"/>
    <n v="100"/>
    <n v="1163583"/>
    <m/>
    <s v="2023-04-24T15:08:00"/>
    <s v="2023-04-24T15:08:00"/>
    <s v="system@alrashdeng.ae"/>
    <n v="1"/>
    <b v="1"/>
    <m/>
    <n v="0"/>
    <m/>
    <x v="0"/>
    <x v="0"/>
  </r>
  <r>
    <s v="PH-PRJ-014-09"/>
    <x v="13"/>
    <x v="8"/>
    <d v="2023-07-29T00:00:00"/>
    <d v="2023-08-26T00:00:00"/>
    <d v="2023-07-29T00:00:00"/>
    <d v="2023-08-26T00:00:00"/>
    <s v="Completed"/>
    <n v="100"/>
    <n v="349075"/>
    <m/>
    <s v="2023-07-29T07:38:00"/>
    <s v="2023-07-29T07:38:00"/>
    <s v="system@alrashdeng.ae"/>
    <n v="1"/>
    <b v="1"/>
    <m/>
    <n v="0"/>
    <m/>
    <x v="0"/>
    <x v="0"/>
  </r>
  <r>
    <s v="PH-PRJ-014-10"/>
    <x v="13"/>
    <x v="9"/>
    <d v="2023-08-26T00:00:00"/>
    <d v="2023-09-14T00:00:00"/>
    <d v="2023-08-26T00:00:00"/>
    <d v="2023-09-14T00:00:00"/>
    <s v="Completed"/>
    <n v="100"/>
    <n v="232716"/>
    <m/>
    <s v="2023-08-26T08:24:00"/>
    <s v="2023-08-26T08:24:00"/>
    <s v="system@alrashdeng.ae"/>
    <n v="1"/>
    <b v="1"/>
    <m/>
    <n v="0"/>
    <m/>
    <x v="0"/>
    <x v="0"/>
  </r>
  <r>
    <s v="PH-PRJ-015-01"/>
    <x v="14"/>
    <x v="0"/>
    <d v="2020-02-20T00:00:00"/>
    <d v="2020-04-18T00:00:00"/>
    <d v="2020-02-20T00:00:00"/>
    <d v="2020-04-18T00:00:00"/>
    <s v="Completed"/>
    <n v="100"/>
    <n v="18012730"/>
    <m/>
    <s v="2020-02-20T13:01:00"/>
    <s v="2020-02-20T13:01:00"/>
    <s v="system@alrashdeng.ae"/>
    <n v="1"/>
    <b v="1"/>
    <m/>
    <n v="0"/>
    <m/>
    <x v="0"/>
    <x v="0"/>
  </r>
  <r>
    <s v="PH-PRJ-015-02"/>
    <x v="14"/>
    <x v="1"/>
    <d v="2020-04-18T00:00:00"/>
    <d v="2020-08-13T00:00:00"/>
    <d v="2020-04-18T00:00:00"/>
    <d v="2020-08-13T00:00:00"/>
    <s v="Completed"/>
    <n v="100"/>
    <n v="36025460"/>
    <m/>
    <s v="2020-04-18T08:52:00"/>
    <s v="2020-04-18T08:52:00"/>
    <s v="system@alrashdeng.ae"/>
    <n v="1"/>
    <b v="1"/>
    <m/>
    <n v="0"/>
    <m/>
    <x v="0"/>
    <x v="0"/>
  </r>
  <r>
    <s v="PH-PRJ-015-03"/>
    <x v="14"/>
    <x v="2"/>
    <d v="2020-08-13T00:00:00"/>
    <d v="2020-12-31T00:00:00"/>
    <d v="2020-08-13T00:00:00"/>
    <d v="2020-12-31T00:00:00"/>
    <s v="Completed"/>
    <n v="100"/>
    <n v="43230552"/>
    <m/>
    <s v="2020-08-13T07:48:00"/>
    <s v="2020-08-13T07:48:00"/>
    <s v="system@alrashdeng.ae"/>
    <n v="1"/>
    <b v="1"/>
    <s v="Critical Phase"/>
    <n v="0"/>
    <m/>
    <x v="0"/>
    <x v="0"/>
  </r>
  <r>
    <s v="PH-PRJ-015-04"/>
    <x v="14"/>
    <x v="3"/>
    <d v="2020-12-31T00:00:00"/>
    <d v="2021-06-24T00:00:00"/>
    <d v="2020-12-31T00:00:00"/>
    <d v="2021-06-24T00:00:00"/>
    <s v="Completed"/>
    <n v="100"/>
    <n v="54038190"/>
    <m/>
    <s v="2020-12-31T17:59:00"/>
    <s v="2020-12-31T17:59:00"/>
    <s v="system@alrashdeng.ae"/>
    <n v="1"/>
    <b v="1"/>
    <m/>
    <n v="0"/>
    <m/>
    <x v="0"/>
    <x v="0"/>
  </r>
  <r>
    <s v="PH-PRJ-015-05"/>
    <x v="14"/>
    <x v="4"/>
    <d v="2021-06-24T00:00:00"/>
    <d v="2022-04-12T00:00:00"/>
    <d v="2021-06-24T00:00:00"/>
    <d v="2022-04-12T00:00:00"/>
    <s v="Completed"/>
    <n v="100"/>
    <n v="90063650"/>
    <m/>
    <s v="2021-06-24T07:08:00"/>
    <s v="2021-06-24T07:08:00"/>
    <s v="system@alrashdeng.ae"/>
    <n v="1"/>
    <b v="1"/>
    <s v="Critical Phase"/>
    <n v="0"/>
    <m/>
    <x v="0"/>
    <x v="0"/>
  </r>
  <r>
    <s v="PH-PRJ-015-06"/>
    <x v="14"/>
    <x v="5"/>
    <d v="2022-04-12T00:00:00"/>
    <d v="2022-08-07T00:00:00"/>
    <d v="2022-04-12T00:00:00"/>
    <d v="2022-08-07T00:00:00"/>
    <s v="Completed"/>
    <n v="100"/>
    <n v="36025460"/>
    <m/>
    <s v="2022-04-12T10:49:00"/>
    <s v="2022-04-12T10:49:00"/>
    <s v="system@alrashdeng.ae"/>
    <n v="1"/>
    <b v="1"/>
    <m/>
    <n v="0"/>
    <m/>
    <x v="0"/>
    <x v="0"/>
  </r>
  <r>
    <s v="PH-PRJ-015-07"/>
    <x v="14"/>
    <x v="6"/>
    <d v="2022-08-07T00:00:00"/>
    <d v="2022-11-08T00:00:00"/>
    <d v="2022-08-07T00:00:00"/>
    <d v="2022-11-08T00:00:00"/>
    <s v="Completed"/>
    <n v="100"/>
    <n v="28820368"/>
    <m/>
    <s v="2022-08-07T08:17:00"/>
    <s v="2022-08-07T08:17:00"/>
    <s v="system@alrashdeng.ae"/>
    <n v="1"/>
    <b v="1"/>
    <m/>
    <n v="0"/>
    <m/>
    <x v="0"/>
    <x v="0"/>
  </r>
  <r>
    <s v="PH-PRJ-015-08"/>
    <x v="14"/>
    <x v="7"/>
    <d v="2022-11-08T00:00:00"/>
    <d v="2023-03-05T00:00:00"/>
    <d v="2022-11-08T00:00:00"/>
    <d v="2023-03-05T00:00:00"/>
    <s v="Completed"/>
    <n v="100"/>
    <n v="36025460"/>
    <m/>
    <s v="2022-11-08T09:40:00"/>
    <s v="2022-11-08T09:40:00"/>
    <s v="system@alrashdeng.ae"/>
    <n v="1"/>
    <b v="1"/>
    <m/>
    <n v="0"/>
    <m/>
    <x v="0"/>
    <x v="0"/>
  </r>
  <r>
    <s v="PH-PRJ-015-09"/>
    <x v="14"/>
    <x v="8"/>
    <d v="2023-03-05T00:00:00"/>
    <d v="2023-04-09T00:00:00"/>
    <d v="2023-03-05T00:00:00"/>
    <d v="2023-04-09T00:00:00"/>
    <s v="Completed"/>
    <n v="100"/>
    <n v="10807638"/>
    <m/>
    <s v="2023-03-05T16:00:00"/>
    <s v="2023-03-05T16:00:00"/>
    <s v="system@alrashdeng.ae"/>
    <n v="1"/>
    <b v="1"/>
    <m/>
    <n v="0"/>
    <m/>
    <x v="0"/>
    <x v="0"/>
  </r>
  <r>
    <s v="PH-PRJ-015-10"/>
    <x v="14"/>
    <x v="9"/>
    <d v="2023-04-09T00:00:00"/>
    <d v="2023-05-02T00:00:00"/>
    <d v="2023-04-09T00:00:00"/>
    <d v="2023-05-02T00:00:00"/>
    <s v="Completed"/>
    <n v="100"/>
    <n v="7205092"/>
    <m/>
    <s v="2023-04-09T07:50:00"/>
    <s v="2023-04-09T07:50:00"/>
    <s v="system@alrashdeng.ae"/>
    <n v="1"/>
    <b v="1"/>
    <m/>
    <n v="0"/>
    <m/>
    <x v="0"/>
    <x v="0"/>
  </r>
  <r>
    <s v="PH-PRJ-016-01"/>
    <x v="15"/>
    <x v="0"/>
    <d v="2020-12-03T00:00:00"/>
    <d v="2021-02-04T00:00:00"/>
    <d v="2020-12-03T00:00:00"/>
    <d v="2021-02-04T00:00:00"/>
    <s v="Completed"/>
    <n v="100"/>
    <n v="23117242"/>
    <m/>
    <s v="2020-12-03T08:34:00"/>
    <s v="2020-12-03T08:34:00"/>
    <s v="system@alrashdeng.ae"/>
    <n v="1"/>
    <b v="1"/>
    <m/>
    <n v="0"/>
    <m/>
    <x v="0"/>
    <x v="0"/>
  </r>
  <r>
    <s v="PH-PRJ-016-02"/>
    <x v="15"/>
    <x v="1"/>
    <d v="2021-02-04T00:00:00"/>
    <d v="2021-06-10T00:00:00"/>
    <d v="2021-02-04T00:00:00"/>
    <d v="2021-06-10T00:00:00"/>
    <s v="Completed"/>
    <n v="100"/>
    <n v="46234484"/>
    <m/>
    <s v="2021-02-04T12:54:00"/>
    <s v="2021-02-04T12:54:00"/>
    <s v="system@alrashdeng.ae"/>
    <n v="1"/>
    <b v="1"/>
    <m/>
    <n v="0"/>
    <m/>
    <x v="0"/>
    <x v="0"/>
  </r>
  <r>
    <s v="PH-PRJ-016-03"/>
    <x v="15"/>
    <x v="2"/>
    <d v="2021-06-10T00:00:00"/>
    <d v="2021-11-08T00:00:00"/>
    <d v="2021-06-10T00:00:00"/>
    <d v="2021-11-08T00:00:00"/>
    <s v="Completed"/>
    <n v="100"/>
    <n v="55481380"/>
    <m/>
    <s v="2021-06-10T08:12:00"/>
    <s v="2021-06-10T08:12:00"/>
    <s v="system@alrashdeng.ae"/>
    <n v="1"/>
    <b v="1"/>
    <s v="Critical Phase"/>
    <n v="0"/>
    <m/>
    <x v="0"/>
    <x v="0"/>
  </r>
  <r>
    <s v="PH-PRJ-016-04"/>
    <x v="15"/>
    <x v="3"/>
    <d v="2021-11-08T00:00:00"/>
    <d v="2022-05-16T00:00:00"/>
    <d v="2021-11-08T00:00:00"/>
    <d v="2022-05-16T00:00:00"/>
    <s v="Completed"/>
    <n v="100"/>
    <n v="69351726"/>
    <m/>
    <s v="2021-11-08T09:30:00"/>
    <s v="2021-11-08T09:30:00"/>
    <s v="system@alrashdeng.ae"/>
    <n v="1"/>
    <b v="1"/>
    <m/>
    <n v="0"/>
    <m/>
    <x v="0"/>
    <x v="0"/>
  </r>
  <r>
    <s v="PH-PRJ-016-05"/>
    <x v="15"/>
    <x v="4"/>
    <d v="2022-05-16T00:00:00"/>
    <d v="2023-03-27T00:00:00"/>
    <d v="2022-05-16T00:00:00"/>
    <d v="2023-03-27T00:00:00"/>
    <s v="Completed"/>
    <n v="100"/>
    <n v="115586210"/>
    <m/>
    <s v="2022-05-16T16:57:00"/>
    <s v="2022-05-16T16:57:00"/>
    <s v="system@alrashdeng.ae"/>
    <n v="1"/>
    <b v="1"/>
    <s v="Critical Phase"/>
    <n v="0"/>
    <m/>
    <x v="0"/>
    <x v="0"/>
  </r>
  <r>
    <s v="PH-PRJ-016-06"/>
    <x v="15"/>
    <x v="5"/>
    <d v="2023-03-27T00:00:00"/>
    <d v="2023-07-31T00:00:00"/>
    <d v="2023-03-27T00:00:00"/>
    <d v="2023-07-31T00:00:00"/>
    <s v="Completed"/>
    <n v="100"/>
    <n v="46234484"/>
    <m/>
    <s v="2023-03-27T14:52:00"/>
    <s v="2023-03-27T14:52:00"/>
    <s v="system@alrashdeng.ae"/>
    <n v="1"/>
    <b v="1"/>
    <m/>
    <n v="0"/>
    <m/>
    <x v="0"/>
    <x v="0"/>
  </r>
  <r>
    <s v="PH-PRJ-016-07"/>
    <x v="15"/>
    <x v="6"/>
    <d v="2023-07-31T00:00:00"/>
    <d v="2023-11-08T00:00:00"/>
    <d v="2023-07-31T00:00:00"/>
    <d v="2023-11-08T00:00:00"/>
    <s v="Completed"/>
    <n v="100"/>
    <n v="36987587"/>
    <m/>
    <s v="2023-07-31T09:19:00"/>
    <s v="2023-07-31T09:19:00"/>
    <s v="system@alrashdeng.ae"/>
    <n v="1"/>
    <b v="1"/>
    <m/>
    <n v="0"/>
    <m/>
    <x v="0"/>
    <x v="0"/>
  </r>
  <r>
    <s v="PH-PRJ-016-08"/>
    <x v="15"/>
    <x v="7"/>
    <d v="2023-11-08T00:00:00"/>
    <d v="2024-03-13T00:00:00"/>
    <d v="2023-11-08T00:00:00"/>
    <d v="2024-03-13T00:00:00"/>
    <s v="Completed"/>
    <n v="100"/>
    <n v="46234484"/>
    <m/>
    <s v="2023-11-08T12:30:00"/>
    <s v="2023-11-08T12:30:00"/>
    <s v="system@alrashdeng.ae"/>
    <n v="1"/>
    <b v="1"/>
    <m/>
    <n v="0"/>
    <m/>
    <x v="0"/>
    <x v="0"/>
  </r>
  <r>
    <s v="PH-PRJ-016-09"/>
    <x v="15"/>
    <x v="8"/>
    <d v="2024-03-13T00:00:00"/>
    <d v="2024-04-19T00:00:00"/>
    <d v="2024-03-13T00:00:00"/>
    <d v="2024-04-19T00:00:00"/>
    <s v="Completed"/>
    <n v="100"/>
    <n v="13870345"/>
    <m/>
    <s v="2024-03-13T09:15:00"/>
    <s v="2024-03-13T09:15:00"/>
    <s v="system@alrashdeng.ae"/>
    <n v="1"/>
    <b v="1"/>
    <m/>
    <n v="0"/>
    <m/>
    <x v="0"/>
    <x v="0"/>
  </r>
  <r>
    <s v="PH-PRJ-016-10"/>
    <x v="15"/>
    <x v="9"/>
    <d v="2024-04-19T00:00:00"/>
    <d v="2024-05-14T00:00:00"/>
    <d v="2024-04-19T00:00:00"/>
    <d v="2024-05-14T00:00:00"/>
    <s v="Completed"/>
    <n v="100"/>
    <n v="9246896"/>
    <m/>
    <s v="2024-04-19T07:34:00"/>
    <s v="2024-04-19T07:34:00"/>
    <s v="system@alrashdeng.ae"/>
    <n v="1"/>
    <b v="1"/>
    <m/>
    <n v="0"/>
    <m/>
    <x v="0"/>
    <x v="0"/>
  </r>
  <r>
    <s v="PH-PRJ-017-01"/>
    <x v="16"/>
    <x v="0"/>
    <d v="2021-07-31T00:00:00"/>
    <d v="2021-09-23T00:00:00"/>
    <d v="2021-07-31T00:00:00"/>
    <d v="2021-09-23T00:00:00"/>
    <s v="Completed"/>
    <n v="100"/>
    <n v="11075384"/>
    <m/>
    <s v="2021-07-31T11:40:00"/>
    <s v="2021-07-31T11:40:00"/>
    <s v="system@alrashdeng.ae"/>
    <n v="1"/>
    <b v="1"/>
    <m/>
    <n v="0"/>
    <m/>
    <x v="0"/>
    <x v="0"/>
  </r>
  <r>
    <s v="PH-PRJ-017-02"/>
    <x v="16"/>
    <x v="1"/>
    <d v="2021-09-23T00:00:00"/>
    <d v="2022-01-09T00:00:00"/>
    <d v="2021-09-23T00:00:00"/>
    <d v="2022-01-09T00:00:00"/>
    <s v="Completed"/>
    <n v="100"/>
    <n v="22150768"/>
    <m/>
    <s v="2021-09-23T15:07:00"/>
    <s v="2021-09-23T15:07:00"/>
    <s v="system@alrashdeng.ae"/>
    <n v="1"/>
    <b v="1"/>
    <m/>
    <n v="0"/>
    <m/>
    <x v="0"/>
    <x v="0"/>
  </r>
  <r>
    <s v="PH-PRJ-017-03"/>
    <x v="16"/>
    <x v="2"/>
    <d v="2022-01-09T00:00:00"/>
    <d v="2022-05-18T00:00:00"/>
    <d v="2022-01-09T00:00:00"/>
    <d v="2022-05-18T00:00:00"/>
    <s v="Completed"/>
    <n v="100"/>
    <n v="26580922"/>
    <m/>
    <s v="2022-01-09T07:52:00"/>
    <s v="2022-01-09T07:52:00"/>
    <s v="system@alrashdeng.ae"/>
    <n v="1"/>
    <b v="1"/>
    <s v="Critical Phase"/>
    <n v="0"/>
    <m/>
    <x v="0"/>
    <x v="0"/>
  </r>
  <r>
    <s v="PH-PRJ-017-04"/>
    <x v="16"/>
    <x v="3"/>
    <d v="2022-05-18T00:00:00"/>
    <d v="2022-10-27T00:00:00"/>
    <d v="2022-05-18T00:00:00"/>
    <d v="2022-10-27T00:00:00"/>
    <s v="Completed"/>
    <n v="100"/>
    <n v="33226152"/>
    <m/>
    <s v="2022-05-18T07:06:00"/>
    <s v="2022-05-18T07:06:00"/>
    <s v="system@alrashdeng.ae"/>
    <n v="1"/>
    <b v="1"/>
    <m/>
    <n v="0"/>
    <m/>
    <x v="0"/>
    <x v="0"/>
  </r>
  <r>
    <s v="PH-PRJ-017-05"/>
    <x v="16"/>
    <x v="4"/>
    <d v="2022-10-27T00:00:00"/>
    <d v="2023-07-24T00:00:00"/>
    <d v="2022-10-27T00:00:00"/>
    <d v="2023-07-24T00:00:00"/>
    <s v="Completed"/>
    <n v="100"/>
    <n v="55376921"/>
    <m/>
    <s v="2022-10-27T15:18:00"/>
    <s v="2022-10-27T15:18:00"/>
    <s v="system@alrashdeng.ae"/>
    <n v="1"/>
    <b v="1"/>
    <s v="Critical Phase"/>
    <n v="0"/>
    <m/>
    <x v="0"/>
    <x v="0"/>
  </r>
  <r>
    <s v="PH-PRJ-017-06"/>
    <x v="16"/>
    <x v="5"/>
    <d v="2023-07-24T00:00:00"/>
    <d v="2023-11-09T00:00:00"/>
    <d v="2023-07-24T00:00:00"/>
    <d v="2023-11-09T00:00:00"/>
    <s v="Completed"/>
    <n v="100"/>
    <n v="22150768"/>
    <m/>
    <s v="2023-07-24T08:32:00"/>
    <s v="2023-07-24T08:32:00"/>
    <s v="system@alrashdeng.ae"/>
    <n v="1"/>
    <b v="1"/>
    <m/>
    <n v="0"/>
    <m/>
    <x v="0"/>
    <x v="0"/>
  </r>
  <r>
    <s v="PH-PRJ-017-07"/>
    <x v="16"/>
    <x v="6"/>
    <d v="2023-11-09T00:00:00"/>
    <d v="2024-02-03T00:00:00"/>
    <d v="2023-11-09T00:00:00"/>
    <d v="2024-02-03T00:00:00"/>
    <s v="Completed"/>
    <n v="100"/>
    <n v="17720614"/>
    <m/>
    <s v="2023-11-09T13:09:00"/>
    <s v="2023-11-09T13:09:00"/>
    <s v="system@alrashdeng.ae"/>
    <n v="1"/>
    <b v="1"/>
    <m/>
    <n v="0"/>
    <m/>
    <x v="0"/>
    <x v="0"/>
  </r>
  <r>
    <s v="PH-PRJ-017-08"/>
    <x v="16"/>
    <x v="7"/>
    <d v="2024-02-03T00:00:00"/>
    <d v="2024-05-21T00:00:00"/>
    <d v="2024-02-03T00:00:00"/>
    <d v="2024-05-21T00:00:00"/>
    <s v="Completed"/>
    <n v="100"/>
    <n v="22150768"/>
    <m/>
    <s v="2024-02-03T07:58:00"/>
    <s v="2024-02-03T07:58:00"/>
    <s v="system@alrashdeng.ae"/>
    <n v="1"/>
    <b v="1"/>
    <m/>
    <n v="0"/>
    <m/>
    <x v="0"/>
    <x v="0"/>
  </r>
  <r>
    <s v="PH-PRJ-017-09"/>
    <x v="16"/>
    <x v="8"/>
    <d v="2024-05-21T00:00:00"/>
    <d v="2024-06-22T00:00:00"/>
    <d v="2024-05-21T00:00:00"/>
    <d v="2024-06-22T00:00:00"/>
    <s v="Completed"/>
    <n v="100"/>
    <n v="6645230"/>
    <m/>
    <s v="2024-05-21T10:01:00"/>
    <s v="2024-05-21T10:01:00"/>
    <s v="system@alrashdeng.ae"/>
    <n v="1"/>
    <b v="1"/>
    <m/>
    <n v="0"/>
    <m/>
    <x v="0"/>
    <x v="0"/>
  </r>
  <r>
    <s v="PH-PRJ-017-10"/>
    <x v="16"/>
    <x v="9"/>
    <d v="2024-06-22T00:00:00"/>
    <d v="2024-07-13T00:00:00"/>
    <d v="2024-06-22T00:00:00"/>
    <d v="2024-07-13T00:00:00"/>
    <s v="Completed"/>
    <n v="100"/>
    <n v="4430153"/>
    <m/>
    <s v="2024-06-22T10:27:00"/>
    <s v="2024-06-22T10:27:00"/>
    <s v="system@alrashdeng.ae"/>
    <n v="1"/>
    <b v="1"/>
    <m/>
    <n v="0"/>
    <m/>
    <x v="0"/>
    <x v="0"/>
  </r>
  <r>
    <s v="PH-PRJ-018-01"/>
    <x v="17"/>
    <x v="0"/>
    <d v="2020-06-11T00:00:00"/>
    <d v="2020-06-30T00:00:00"/>
    <d v="2020-06-11T00:00:00"/>
    <d v="2020-06-30T00:00:00"/>
    <s v="Completed"/>
    <n v="100"/>
    <n v="3005310"/>
    <m/>
    <s v="2020-06-11T13:09:00"/>
    <s v="2020-06-11T13:09:00"/>
    <s v="system@alrashdeng.ae"/>
    <n v="1"/>
    <b v="1"/>
    <m/>
    <n v="0"/>
    <m/>
    <x v="0"/>
    <x v="0"/>
  </r>
  <r>
    <s v="PH-PRJ-018-02"/>
    <x v="17"/>
    <x v="1"/>
    <d v="2020-06-30T00:00:00"/>
    <d v="2020-08-08T00:00:00"/>
    <d v="2020-06-30T00:00:00"/>
    <d v="2020-08-08T00:00:00"/>
    <s v="Completed"/>
    <n v="100"/>
    <n v="6010621"/>
    <m/>
    <s v="2020-06-30T12:41:00"/>
    <s v="2020-06-30T12:41:00"/>
    <s v="system@alrashdeng.ae"/>
    <n v="1"/>
    <b v="1"/>
    <m/>
    <n v="0"/>
    <m/>
    <x v="0"/>
    <x v="0"/>
  </r>
  <r>
    <s v="PH-PRJ-018-03"/>
    <x v="17"/>
    <x v="2"/>
    <d v="2020-08-08T00:00:00"/>
    <d v="2020-09-23T00:00:00"/>
    <d v="2020-08-08T00:00:00"/>
    <d v="2020-09-23T00:00:00"/>
    <s v="Completed"/>
    <n v="100"/>
    <n v="7212745"/>
    <m/>
    <s v="2020-08-08T11:14:00"/>
    <s v="2020-08-08T11:14:00"/>
    <s v="system@alrashdeng.ae"/>
    <n v="1"/>
    <b v="1"/>
    <s v="Critical Phase"/>
    <n v="0"/>
    <m/>
    <x v="0"/>
    <x v="0"/>
  </r>
  <r>
    <s v="PH-PRJ-018-04"/>
    <x v="17"/>
    <x v="3"/>
    <d v="2020-09-23T00:00:00"/>
    <d v="2020-11-20T00:00:00"/>
    <d v="2020-09-23T00:00:00"/>
    <d v="2020-11-20T00:00:00"/>
    <s v="Completed"/>
    <n v="100"/>
    <n v="9015932"/>
    <m/>
    <s v="2020-09-23T17:24:00"/>
    <s v="2020-09-23T17:24:00"/>
    <s v="system@alrashdeng.ae"/>
    <n v="1"/>
    <b v="1"/>
    <m/>
    <n v="0"/>
    <m/>
    <x v="0"/>
    <x v="0"/>
  </r>
  <r>
    <s v="PH-PRJ-018-05"/>
    <x v="17"/>
    <x v="4"/>
    <d v="2020-11-20T00:00:00"/>
    <d v="2021-02-25T00:00:00"/>
    <d v="2020-11-20T00:00:00"/>
    <d v="2021-02-25T00:00:00"/>
    <s v="Completed"/>
    <n v="100"/>
    <n v="15026553"/>
    <m/>
    <s v="2020-11-20T17:56:00"/>
    <s v="2020-11-20T17:56:00"/>
    <s v="system@alrashdeng.ae"/>
    <n v="1"/>
    <b v="1"/>
    <s v="Critical Phase"/>
    <n v="0"/>
    <m/>
    <x v="0"/>
    <x v="0"/>
  </r>
  <r>
    <s v="PH-PRJ-018-06"/>
    <x v="17"/>
    <x v="5"/>
    <d v="2021-02-25T00:00:00"/>
    <d v="2021-04-05T00:00:00"/>
    <d v="2021-02-25T00:00:00"/>
    <d v="2021-04-05T00:00:00"/>
    <s v="Completed"/>
    <n v="100"/>
    <n v="6010621"/>
    <m/>
    <s v="2021-02-25T08:31:00"/>
    <s v="2021-02-25T08:31:00"/>
    <s v="system@alrashdeng.ae"/>
    <n v="1"/>
    <b v="1"/>
    <m/>
    <n v="0"/>
    <m/>
    <x v="0"/>
    <x v="0"/>
  </r>
  <r>
    <s v="PH-PRJ-018-07"/>
    <x v="17"/>
    <x v="6"/>
    <d v="2021-04-05T00:00:00"/>
    <d v="2021-05-06T00:00:00"/>
    <d v="2021-04-05T00:00:00"/>
    <d v="2021-05-06T00:00:00"/>
    <s v="Completed"/>
    <n v="100"/>
    <n v="4808497"/>
    <m/>
    <s v="2021-04-05T09:07:00"/>
    <s v="2021-04-05T09:07:00"/>
    <s v="system@alrashdeng.ae"/>
    <n v="1"/>
    <b v="1"/>
    <m/>
    <n v="0"/>
    <m/>
    <x v="0"/>
    <x v="0"/>
  </r>
  <r>
    <s v="PH-PRJ-018-08"/>
    <x v="17"/>
    <x v="7"/>
    <d v="2021-05-06T00:00:00"/>
    <d v="2021-06-14T00:00:00"/>
    <d v="2021-05-06T00:00:00"/>
    <d v="2021-06-14T00:00:00"/>
    <s v="Completed"/>
    <n v="100"/>
    <n v="6010621"/>
    <m/>
    <s v="2021-05-06T10:06:00"/>
    <s v="2021-05-06T10:06:00"/>
    <s v="system@alrashdeng.ae"/>
    <n v="1"/>
    <b v="1"/>
    <m/>
    <n v="0"/>
    <m/>
    <x v="0"/>
    <x v="0"/>
  </r>
  <r>
    <s v="PH-PRJ-018-09"/>
    <x v="17"/>
    <x v="8"/>
    <d v="2021-06-14T00:00:00"/>
    <d v="2021-06-25T00:00:00"/>
    <d v="2021-06-14T00:00:00"/>
    <d v="2021-06-25T00:00:00"/>
    <s v="Completed"/>
    <n v="100"/>
    <n v="1803186"/>
    <m/>
    <s v="2021-06-14T11:22:00"/>
    <s v="2021-06-14T11:22:00"/>
    <s v="system@alrashdeng.ae"/>
    <n v="1"/>
    <b v="1"/>
    <m/>
    <n v="0"/>
    <m/>
    <x v="0"/>
    <x v="0"/>
  </r>
  <r>
    <s v="PH-PRJ-018-10"/>
    <x v="17"/>
    <x v="9"/>
    <d v="2021-06-25T00:00:00"/>
    <d v="2021-07-02T00:00:00"/>
    <d v="2021-06-25T00:00:00"/>
    <d v="2021-07-02T00:00:00"/>
    <s v="Completed"/>
    <n v="100"/>
    <n v="1202124"/>
    <m/>
    <s v="2021-06-25T08:39:00"/>
    <s v="2021-06-25T08:39:00"/>
    <s v="system@alrashdeng.ae"/>
    <n v="1"/>
    <b v="1"/>
    <m/>
    <n v="0"/>
    <m/>
    <x v="0"/>
    <x v="0"/>
  </r>
  <r>
    <s v="PH-PRJ-019-01"/>
    <x v="18"/>
    <x v="0"/>
    <d v="2024-07-26T00:00:00"/>
    <d v="2024-09-01T00:00:00"/>
    <d v="2024-07-26T00:00:00"/>
    <d v="2024-09-01T00:00:00"/>
    <s v="Completed"/>
    <n v="100"/>
    <n v="17821677"/>
    <m/>
    <s v="2024-07-26T12:07:00"/>
    <s v="2024-07-26T12:07:00"/>
    <s v="system@alrashdeng.ae"/>
    <n v="1"/>
    <b v="1"/>
    <m/>
    <n v="0"/>
    <m/>
    <x v="0"/>
    <x v="0"/>
  </r>
  <r>
    <s v="PH-PRJ-019-02"/>
    <x v="18"/>
    <x v="1"/>
    <d v="2024-09-01T00:00:00"/>
    <d v="2024-11-15T00:00:00"/>
    <d v="2024-09-01T00:00:00"/>
    <d v="2024-11-15T00:00:00"/>
    <s v="Completed"/>
    <n v="100"/>
    <n v="35643354"/>
    <m/>
    <s v="2024-09-01T12:59:00"/>
    <s v="2024-09-01T12:59:00"/>
    <s v="system@alrashdeng.ae"/>
    <n v="1"/>
    <b v="1"/>
    <m/>
    <n v="0"/>
    <m/>
    <x v="0"/>
    <x v="0"/>
  </r>
  <r>
    <s v="PH-PRJ-019-03"/>
    <x v="18"/>
    <x v="2"/>
    <d v="2024-11-15T00:00:00"/>
    <d v="2025-02-13T00:00:00"/>
    <d v="2024-11-15T00:00:00"/>
    <d v="2025-02-13T00:00:00"/>
    <s v="Completed"/>
    <n v="100"/>
    <n v="42772024"/>
    <m/>
    <s v="2024-11-15T08:57:00"/>
    <s v="2024-11-15T08:57:00"/>
    <s v="system@alrashdeng.ae"/>
    <n v="1"/>
    <b v="1"/>
    <s v="Critical Phase"/>
    <n v="0"/>
    <m/>
    <x v="0"/>
    <x v="0"/>
  </r>
  <r>
    <s v="PH-PRJ-019-04"/>
    <x v="18"/>
    <x v="3"/>
    <d v="2025-02-13T00:00:00"/>
    <d v="2025-06-05T00:00:00"/>
    <d v="2025-02-13T00:00:00"/>
    <d v="2025-06-05T00:00:00"/>
    <s v="Completed"/>
    <n v="100"/>
    <n v="53465031"/>
    <m/>
    <s v="2025-02-13T07:38:00"/>
    <s v="2025-02-13T07:38:00"/>
    <s v="system@alrashdeng.ae"/>
    <n v="1"/>
    <b v="1"/>
    <m/>
    <n v="0"/>
    <m/>
    <x v="0"/>
    <x v="0"/>
  </r>
  <r>
    <s v="PH-PRJ-019-05"/>
    <x v="18"/>
    <x v="4"/>
    <d v="2025-06-05T00:00:00"/>
    <d v="2025-12-09T00:00:00"/>
    <d v="2025-06-05T00:00:00"/>
    <d v="2025-12-09T00:00:00"/>
    <s v="Completed"/>
    <n v="100"/>
    <n v="89108385"/>
    <m/>
    <s v="2025-06-05T09:11:00"/>
    <s v="2025-06-05T09:11:00"/>
    <s v="system@alrashdeng.ae"/>
    <n v="1"/>
    <b v="1"/>
    <s v="Critical Phase"/>
    <n v="0"/>
    <m/>
    <x v="0"/>
    <x v="0"/>
  </r>
  <r>
    <s v="PH-PRJ-019-06"/>
    <x v="18"/>
    <x v="5"/>
    <d v="2025-12-09T00:00:00"/>
    <d v="2026-02-22T00:00:00"/>
    <d v="2025-12-09T00:00:00"/>
    <d v="2026-02-22T00:00:00"/>
    <s v="Completed"/>
    <n v="100"/>
    <n v="35643354"/>
    <m/>
    <s v="2025-12-09T13:33:00"/>
    <s v="2025-12-09T13:33:00"/>
    <s v="system@alrashdeng.ae"/>
    <n v="1"/>
    <b v="1"/>
    <m/>
    <n v="0"/>
    <m/>
    <x v="0"/>
    <x v="0"/>
  </r>
  <r>
    <s v="PH-PRJ-019-07"/>
    <x v="18"/>
    <x v="6"/>
    <d v="2026-02-22T00:00:00"/>
    <d v="2026-04-23T00:00:00"/>
    <d v="2026-02-22T00:00:00"/>
    <m/>
    <s v="In Progress"/>
    <n v="62"/>
    <n v="28514683"/>
    <m/>
    <s v="2026-02-22T16:11:00"/>
    <s v="2026-02-22T16:11:00"/>
    <s v="system@alrashdeng.ae"/>
    <n v="1"/>
    <b v="1"/>
    <m/>
    <m/>
    <n v="159"/>
    <x v="1"/>
    <x v="9"/>
  </r>
  <r>
    <s v="PH-PRJ-019-08"/>
    <x v="18"/>
    <x v="7"/>
    <d v="2026-04-23T00:00:00"/>
    <d v="2026-07-07T00:00:00"/>
    <m/>
    <m/>
    <s v="Not Started"/>
    <n v="0"/>
    <n v="35643354"/>
    <m/>
    <s v="2026-04-23T17:27:00"/>
    <s v="2026-04-23T17:27:00"/>
    <s v="system@alrashdeng.ae"/>
    <n v="1"/>
    <b v="1"/>
    <m/>
    <m/>
    <n v="84"/>
    <x v="1"/>
    <x v="10"/>
  </r>
  <r>
    <s v="PH-PRJ-019-09"/>
    <x v="18"/>
    <x v="8"/>
    <d v="2026-07-07T00:00:00"/>
    <d v="2026-07-29T00:00:00"/>
    <m/>
    <m/>
    <s v="Not Started"/>
    <n v="0"/>
    <n v="10693006"/>
    <m/>
    <s v="2026-07-07T09:57:00"/>
    <s v="2026-07-07T09:57:00"/>
    <s v="system@alrashdeng.ae"/>
    <n v="1"/>
    <b v="1"/>
    <m/>
    <m/>
    <n v="62"/>
    <x v="1"/>
    <x v="11"/>
  </r>
  <r>
    <s v="PH-PRJ-019-10"/>
    <x v="18"/>
    <x v="9"/>
    <d v="2026-07-29T00:00:00"/>
    <d v="2026-08-13T00:00:00"/>
    <m/>
    <m/>
    <s v="Not Started"/>
    <n v="0"/>
    <n v="7128670"/>
    <m/>
    <s v="2026-07-29T17:43:00"/>
    <s v="2026-07-29T17:43:00"/>
    <s v="system@alrashdeng.ae"/>
    <n v="1"/>
    <b v="1"/>
    <m/>
    <m/>
    <n v="47"/>
    <x v="1"/>
    <x v="12"/>
  </r>
  <r>
    <s v="PH-PRJ-020-01"/>
    <x v="19"/>
    <x v="0"/>
    <d v="2021-09-01T00:00:00"/>
    <d v="2021-09-28T00:00:00"/>
    <d v="2021-09-01T00:00:00"/>
    <d v="2021-09-28T00:00:00"/>
    <s v="Completed"/>
    <n v="100"/>
    <n v="20632839"/>
    <m/>
    <s v="2021-09-01T11:39:00"/>
    <s v="2021-09-01T11:39:00"/>
    <s v="system@alrashdeng.ae"/>
    <n v="1"/>
    <b v="1"/>
    <m/>
    <n v="0"/>
    <m/>
    <x v="0"/>
    <x v="0"/>
  </r>
  <r>
    <s v="PH-PRJ-020-02"/>
    <x v="19"/>
    <x v="1"/>
    <d v="2021-09-28T00:00:00"/>
    <d v="2021-11-21T00:00:00"/>
    <d v="2021-09-28T00:00:00"/>
    <d v="2021-11-21T00:00:00"/>
    <s v="Completed"/>
    <n v="100"/>
    <n v="41265679"/>
    <m/>
    <s v="2021-09-28T11:22:00"/>
    <s v="2021-09-28T11:22:00"/>
    <s v="system@alrashdeng.ae"/>
    <n v="1"/>
    <b v="1"/>
    <m/>
    <n v="0"/>
    <m/>
    <x v="0"/>
    <x v="0"/>
  </r>
  <r>
    <s v="PH-PRJ-020-03"/>
    <x v="19"/>
    <x v="2"/>
    <d v="2021-11-21T00:00:00"/>
    <d v="2022-01-24T00:00:00"/>
    <d v="2021-11-21T00:00:00"/>
    <d v="2022-01-24T00:00:00"/>
    <s v="Completed"/>
    <n v="100"/>
    <n v="49518815"/>
    <m/>
    <s v="2021-11-21T08:17:00"/>
    <s v="2021-11-21T08:17:00"/>
    <s v="system@alrashdeng.ae"/>
    <n v="1"/>
    <b v="1"/>
    <s v="Critical Phase"/>
    <n v="0"/>
    <m/>
    <x v="0"/>
    <x v="0"/>
  </r>
  <r>
    <s v="PH-PRJ-020-04"/>
    <x v="19"/>
    <x v="3"/>
    <d v="2022-01-24T00:00:00"/>
    <d v="2022-04-15T00:00:00"/>
    <d v="2022-01-24T00:00:00"/>
    <d v="2022-04-15T00:00:00"/>
    <s v="Completed"/>
    <n v="100"/>
    <n v="61898519"/>
    <m/>
    <s v="2022-01-24T14:42:00"/>
    <s v="2022-01-24T14:42:00"/>
    <s v="system@alrashdeng.ae"/>
    <n v="1"/>
    <b v="1"/>
    <m/>
    <n v="0"/>
    <m/>
    <x v="0"/>
    <x v="0"/>
  </r>
  <r>
    <s v="PH-PRJ-020-05"/>
    <x v="19"/>
    <x v="4"/>
    <d v="2022-04-15T00:00:00"/>
    <d v="2022-08-28T00:00:00"/>
    <d v="2022-04-15T00:00:00"/>
    <d v="2022-08-28T00:00:00"/>
    <s v="Completed"/>
    <n v="100"/>
    <n v="103164198"/>
    <m/>
    <s v="2022-04-15T12:59:00"/>
    <s v="2022-04-15T12:59:00"/>
    <s v="system@alrashdeng.ae"/>
    <n v="1"/>
    <b v="1"/>
    <s v="Critical Phase"/>
    <n v="0"/>
    <m/>
    <x v="0"/>
    <x v="0"/>
  </r>
  <r>
    <s v="PH-PRJ-020-06"/>
    <x v="19"/>
    <x v="5"/>
    <d v="2022-08-28T00:00:00"/>
    <d v="2022-10-21T00:00:00"/>
    <d v="2022-08-28T00:00:00"/>
    <d v="2022-10-21T00:00:00"/>
    <s v="Completed"/>
    <n v="100"/>
    <n v="41265679"/>
    <m/>
    <s v="2022-08-28T11:51:00"/>
    <s v="2022-08-28T11:51:00"/>
    <s v="system@alrashdeng.ae"/>
    <n v="1"/>
    <b v="1"/>
    <m/>
    <n v="0"/>
    <m/>
    <x v="0"/>
    <x v="0"/>
  </r>
  <r>
    <s v="PH-PRJ-020-07"/>
    <x v="19"/>
    <x v="6"/>
    <d v="2022-10-21T00:00:00"/>
    <d v="2022-12-03T00:00:00"/>
    <d v="2022-10-21T00:00:00"/>
    <d v="2022-12-03T00:00:00"/>
    <s v="Completed"/>
    <n v="100"/>
    <n v="33012543"/>
    <m/>
    <s v="2022-10-21T08:50:00"/>
    <s v="2022-10-21T08:50:00"/>
    <s v="system@alrashdeng.ae"/>
    <n v="1"/>
    <b v="1"/>
    <m/>
    <n v="0"/>
    <m/>
    <x v="0"/>
    <x v="0"/>
  </r>
  <r>
    <s v="PH-PRJ-020-08"/>
    <x v="19"/>
    <x v="7"/>
    <d v="2022-12-03T00:00:00"/>
    <d v="2023-01-26T00:00:00"/>
    <d v="2022-12-03T00:00:00"/>
    <d v="2023-01-26T00:00:00"/>
    <s v="Completed"/>
    <n v="100"/>
    <n v="41265679"/>
    <m/>
    <s v="2022-12-03T07:55:00"/>
    <s v="2022-12-03T07:55:00"/>
    <s v="system@alrashdeng.ae"/>
    <n v="1"/>
    <b v="1"/>
    <m/>
    <n v="0"/>
    <m/>
    <x v="0"/>
    <x v="0"/>
  </r>
  <r>
    <s v="PH-PRJ-020-09"/>
    <x v="19"/>
    <x v="8"/>
    <d v="2023-01-26T00:00:00"/>
    <d v="2023-02-11T00:00:00"/>
    <d v="2023-01-26T00:00:00"/>
    <d v="2023-02-11T00:00:00"/>
    <s v="Completed"/>
    <n v="100"/>
    <n v="12379703"/>
    <m/>
    <s v="2023-01-26T09:49:00"/>
    <s v="2023-01-26T09:49:00"/>
    <s v="system@alrashdeng.ae"/>
    <n v="1"/>
    <b v="1"/>
    <m/>
    <n v="0"/>
    <m/>
    <x v="0"/>
    <x v="0"/>
  </r>
  <r>
    <s v="PH-PRJ-020-10"/>
    <x v="19"/>
    <x v="9"/>
    <d v="2023-02-11T00:00:00"/>
    <d v="2023-02-21T00:00:00"/>
    <d v="2023-02-11T00:00:00"/>
    <d v="2023-02-21T00:00:00"/>
    <s v="Completed"/>
    <n v="100"/>
    <n v="8253135"/>
    <m/>
    <s v="2023-02-11T17:09:00"/>
    <s v="2023-02-11T17:09:00"/>
    <s v="system@alrashdeng.ae"/>
    <n v="1"/>
    <b v="1"/>
    <m/>
    <n v="0"/>
    <m/>
    <x v="0"/>
    <x v="0"/>
  </r>
  <r>
    <s v="PH-PRJ-021-01"/>
    <x v="20"/>
    <x v="0"/>
    <d v="2022-02-25T00:00:00"/>
    <d v="2022-04-23T00:00:00"/>
    <d v="2022-02-25T00:00:00"/>
    <d v="2022-04-23T00:00:00"/>
    <s v="Completed"/>
    <n v="100"/>
    <n v="3121226"/>
    <m/>
    <s v="2022-02-25T12:09:00"/>
    <s v="2022-02-25T12:09:00"/>
    <s v="system@alrashdeng.ae"/>
    <n v="1"/>
    <b v="1"/>
    <m/>
    <n v="0"/>
    <m/>
    <x v="0"/>
    <x v="0"/>
  </r>
  <r>
    <s v="PH-PRJ-021-02"/>
    <x v="20"/>
    <x v="1"/>
    <d v="2022-04-23T00:00:00"/>
    <d v="2022-08-15T00:00:00"/>
    <d v="2022-04-23T00:00:00"/>
    <d v="2022-08-15T00:00:00"/>
    <s v="Completed"/>
    <n v="100"/>
    <n v="6242452"/>
    <m/>
    <s v="2022-04-23T13:28:00"/>
    <s v="2022-04-23T13:28:00"/>
    <s v="system@alrashdeng.ae"/>
    <n v="1"/>
    <b v="1"/>
    <m/>
    <n v="0"/>
    <m/>
    <x v="0"/>
    <x v="0"/>
  </r>
  <r>
    <s v="PH-PRJ-021-03"/>
    <x v="20"/>
    <x v="2"/>
    <d v="2022-08-15T00:00:00"/>
    <d v="2022-12-29T00:00:00"/>
    <d v="2022-08-15T00:00:00"/>
    <d v="2022-12-29T00:00:00"/>
    <s v="Completed"/>
    <n v="100"/>
    <n v="7490942"/>
    <m/>
    <s v="2022-08-15T14:52:00"/>
    <s v="2022-08-15T14:52:00"/>
    <s v="system@alrashdeng.ae"/>
    <n v="1"/>
    <b v="1"/>
    <s v="Critical Phase"/>
    <n v="0"/>
    <m/>
    <x v="0"/>
    <x v="0"/>
  </r>
  <r>
    <s v="PH-PRJ-021-04"/>
    <x v="20"/>
    <x v="3"/>
    <d v="2022-12-29T00:00:00"/>
    <d v="2023-06-18T00:00:00"/>
    <d v="2022-12-29T00:00:00"/>
    <d v="2023-06-18T00:00:00"/>
    <s v="Completed"/>
    <n v="100"/>
    <n v="9363678"/>
    <m/>
    <s v="2022-12-29T08:07:00"/>
    <s v="2022-12-29T08:07:00"/>
    <s v="system@alrashdeng.ae"/>
    <n v="1"/>
    <b v="1"/>
    <m/>
    <n v="0"/>
    <m/>
    <x v="0"/>
    <x v="0"/>
  </r>
  <r>
    <s v="PH-PRJ-021-05"/>
    <x v="20"/>
    <x v="4"/>
    <d v="2023-06-18T00:00:00"/>
    <d v="2024-03-29T00:00:00"/>
    <d v="2023-06-18T00:00:00"/>
    <d v="2024-03-29T00:00:00"/>
    <s v="Completed"/>
    <n v="100"/>
    <n v="15606130"/>
    <m/>
    <s v="2023-06-18T16:27:00"/>
    <s v="2023-06-18T16:27:00"/>
    <s v="system@alrashdeng.ae"/>
    <n v="1"/>
    <b v="1"/>
    <s v="Critical Phase"/>
    <n v="0"/>
    <m/>
    <x v="0"/>
    <x v="0"/>
  </r>
  <r>
    <s v="PH-PRJ-021-06"/>
    <x v="20"/>
    <x v="5"/>
    <d v="2024-03-29T00:00:00"/>
    <d v="2024-07-21T00:00:00"/>
    <d v="2024-03-29T00:00:00"/>
    <d v="2024-07-21T00:00:00"/>
    <s v="Completed"/>
    <n v="100"/>
    <n v="6242452"/>
    <m/>
    <s v="2024-03-29T11:09:00"/>
    <s v="2024-03-29T11:09:00"/>
    <s v="system@alrashdeng.ae"/>
    <n v="1"/>
    <b v="1"/>
    <m/>
    <n v="0"/>
    <m/>
    <x v="0"/>
    <x v="0"/>
  </r>
  <r>
    <s v="PH-PRJ-021-07"/>
    <x v="20"/>
    <x v="6"/>
    <d v="2024-07-21T00:00:00"/>
    <d v="2024-10-20T00:00:00"/>
    <d v="2024-07-21T00:00:00"/>
    <d v="2024-10-20T00:00:00"/>
    <s v="Completed"/>
    <n v="100"/>
    <n v="4993961"/>
    <m/>
    <s v="2024-07-21T08:20:00"/>
    <s v="2024-07-21T08:20:00"/>
    <s v="system@alrashdeng.ae"/>
    <n v="1"/>
    <b v="1"/>
    <m/>
    <n v="0"/>
    <m/>
    <x v="0"/>
    <x v="0"/>
  </r>
  <r>
    <s v="PH-PRJ-021-08"/>
    <x v="20"/>
    <x v="7"/>
    <d v="2024-10-20T00:00:00"/>
    <d v="2025-02-11T00:00:00"/>
    <d v="2024-10-20T00:00:00"/>
    <d v="2025-02-11T00:00:00"/>
    <s v="Completed"/>
    <n v="100"/>
    <n v="6242452"/>
    <m/>
    <s v="2024-10-20T09:11:00"/>
    <s v="2024-10-20T09:11:00"/>
    <s v="system@alrashdeng.ae"/>
    <n v="1"/>
    <b v="1"/>
    <m/>
    <n v="0"/>
    <m/>
    <x v="0"/>
    <x v="0"/>
  </r>
  <r>
    <s v="PH-PRJ-021-09"/>
    <x v="20"/>
    <x v="8"/>
    <d v="2025-02-11T00:00:00"/>
    <d v="2025-03-17T00:00:00"/>
    <d v="2025-02-11T00:00:00"/>
    <d v="2025-03-17T00:00:00"/>
    <s v="Completed"/>
    <n v="100"/>
    <n v="1872735"/>
    <m/>
    <s v="2025-02-11T13:22:00"/>
    <s v="2025-02-11T13:22:00"/>
    <s v="system@alrashdeng.ae"/>
    <n v="1"/>
    <b v="1"/>
    <m/>
    <n v="0"/>
    <m/>
    <x v="0"/>
    <x v="0"/>
  </r>
  <r>
    <s v="PH-PRJ-021-10"/>
    <x v="20"/>
    <x v="9"/>
    <d v="2025-03-17T00:00:00"/>
    <d v="2025-04-08T00:00:00"/>
    <d v="2025-03-17T00:00:00"/>
    <d v="2025-04-08T00:00:00"/>
    <s v="Completed"/>
    <n v="100"/>
    <n v="1248490"/>
    <m/>
    <s v="2025-03-17T12:31:00"/>
    <s v="2025-03-17T12:31:00"/>
    <s v="system@alrashdeng.ae"/>
    <n v="1"/>
    <b v="1"/>
    <m/>
    <n v="0"/>
    <m/>
    <x v="0"/>
    <x v="0"/>
  </r>
  <r>
    <s v="PH-PRJ-022-01"/>
    <x v="21"/>
    <x v="0"/>
    <d v="2022-08-25T00:00:00"/>
    <d v="2022-09-22T00:00:00"/>
    <d v="2022-08-25T00:00:00"/>
    <d v="2022-09-22T00:00:00"/>
    <s v="Completed"/>
    <n v="100"/>
    <n v="20977114"/>
    <m/>
    <s v="2022-08-25T13:30:00"/>
    <s v="2022-08-25T13:30:00"/>
    <s v="system@alrashdeng.ae"/>
    <n v="1"/>
    <b v="1"/>
    <m/>
    <n v="0"/>
    <m/>
    <x v="0"/>
    <x v="0"/>
  </r>
  <r>
    <s v="PH-PRJ-022-02"/>
    <x v="21"/>
    <x v="1"/>
    <d v="2022-09-22T00:00:00"/>
    <d v="2022-11-18T00:00:00"/>
    <d v="2022-09-22T00:00:00"/>
    <d v="2022-11-18T00:00:00"/>
    <s v="Completed"/>
    <n v="100"/>
    <n v="41954228"/>
    <m/>
    <s v="2022-09-22T13:38:00"/>
    <s v="2022-09-22T13:38:00"/>
    <s v="system@alrashdeng.ae"/>
    <n v="1"/>
    <b v="1"/>
    <m/>
    <n v="0"/>
    <m/>
    <x v="0"/>
    <x v="0"/>
  </r>
  <r>
    <s v="PH-PRJ-022-03"/>
    <x v="21"/>
    <x v="2"/>
    <d v="2022-11-18T00:00:00"/>
    <d v="2023-01-25T00:00:00"/>
    <d v="2022-11-18T00:00:00"/>
    <d v="2023-01-25T00:00:00"/>
    <s v="Completed"/>
    <n v="100"/>
    <n v="50345073"/>
    <m/>
    <s v="2022-11-18T17:21:00"/>
    <s v="2022-11-18T17:21:00"/>
    <s v="system@alrashdeng.ae"/>
    <n v="1"/>
    <b v="1"/>
    <s v="Critical Phase"/>
    <n v="0"/>
    <m/>
    <x v="0"/>
    <x v="0"/>
  </r>
  <r>
    <s v="PH-PRJ-022-04"/>
    <x v="21"/>
    <x v="3"/>
    <d v="2023-01-25T00:00:00"/>
    <d v="2023-04-20T00:00:00"/>
    <d v="2023-01-25T00:00:00"/>
    <d v="2023-04-20T00:00:00"/>
    <s v="Completed"/>
    <n v="100"/>
    <n v="62931342"/>
    <m/>
    <s v="2023-01-25T09:51:00"/>
    <s v="2023-01-25T09:51:00"/>
    <s v="system@alrashdeng.ae"/>
    <n v="1"/>
    <b v="1"/>
    <m/>
    <n v="0"/>
    <m/>
    <x v="0"/>
    <x v="0"/>
  </r>
  <r>
    <s v="PH-PRJ-022-05"/>
    <x v="21"/>
    <x v="4"/>
    <d v="2023-04-20T00:00:00"/>
    <d v="2023-09-09T00:00:00"/>
    <d v="2023-04-20T00:00:00"/>
    <d v="2023-09-09T00:00:00"/>
    <s v="Completed"/>
    <n v="100"/>
    <n v="104885570"/>
    <m/>
    <s v="2023-04-20T17:58:00"/>
    <s v="2023-04-20T17:58:00"/>
    <s v="system@alrashdeng.ae"/>
    <n v="1"/>
    <b v="1"/>
    <s v="Critical Phase"/>
    <n v="0"/>
    <m/>
    <x v="0"/>
    <x v="0"/>
  </r>
  <r>
    <s v="PH-PRJ-022-06"/>
    <x v="21"/>
    <x v="5"/>
    <d v="2023-09-09T00:00:00"/>
    <d v="2023-11-05T00:00:00"/>
    <d v="2023-09-09T00:00:00"/>
    <d v="2023-11-05T00:00:00"/>
    <s v="Completed"/>
    <n v="100"/>
    <n v="41954228"/>
    <m/>
    <s v="2023-09-09T10:24:00"/>
    <s v="2023-09-09T10:24:00"/>
    <s v="system@alrashdeng.ae"/>
    <n v="1"/>
    <b v="1"/>
    <m/>
    <n v="0"/>
    <m/>
    <x v="0"/>
    <x v="0"/>
  </r>
  <r>
    <s v="PH-PRJ-022-07"/>
    <x v="21"/>
    <x v="6"/>
    <d v="2023-11-05T00:00:00"/>
    <d v="2023-12-20T00:00:00"/>
    <d v="2023-11-05T00:00:00"/>
    <d v="2023-12-20T00:00:00"/>
    <s v="Completed"/>
    <n v="100"/>
    <n v="33563382"/>
    <m/>
    <s v="2023-11-05T13:35:00"/>
    <s v="2023-11-05T13:35:00"/>
    <s v="system@alrashdeng.ae"/>
    <n v="1"/>
    <b v="1"/>
    <m/>
    <n v="0"/>
    <m/>
    <x v="0"/>
    <x v="0"/>
  </r>
  <r>
    <s v="PH-PRJ-022-08"/>
    <x v="21"/>
    <x v="7"/>
    <d v="2023-12-20T00:00:00"/>
    <d v="2024-02-15T00:00:00"/>
    <d v="2023-12-20T00:00:00"/>
    <d v="2024-02-15T00:00:00"/>
    <s v="Completed"/>
    <n v="100"/>
    <n v="41954228"/>
    <m/>
    <s v="2023-12-20T14:34:00"/>
    <s v="2023-12-20T14:34:00"/>
    <s v="system@alrashdeng.ae"/>
    <n v="1"/>
    <b v="1"/>
    <m/>
    <n v="0"/>
    <m/>
    <x v="0"/>
    <x v="0"/>
  </r>
  <r>
    <s v="PH-PRJ-022-09"/>
    <x v="21"/>
    <x v="8"/>
    <d v="2024-02-15T00:00:00"/>
    <d v="2024-03-03T00:00:00"/>
    <d v="2024-02-15T00:00:00"/>
    <d v="2024-03-03T00:00:00"/>
    <s v="Completed"/>
    <n v="100"/>
    <n v="12586268"/>
    <m/>
    <s v="2024-02-15T15:31:00"/>
    <s v="2024-02-15T15:31:00"/>
    <s v="system@alrashdeng.ae"/>
    <n v="1"/>
    <b v="1"/>
    <m/>
    <n v="0"/>
    <m/>
    <x v="0"/>
    <x v="0"/>
  </r>
  <r>
    <s v="PH-PRJ-022-10"/>
    <x v="21"/>
    <x v="9"/>
    <d v="2024-03-03T00:00:00"/>
    <d v="2024-03-14T00:00:00"/>
    <d v="2024-03-03T00:00:00"/>
    <d v="2024-03-14T00:00:00"/>
    <s v="Completed"/>
    <n v="100"/>
    <n v="8390845"/>
    <m/>
    <s v="2024-03-03T15:34:00"/>
    <s v="2024-03-03T15:34:00"/>
    <s v="system@alrashdeng.ae"/>
    <n v="1"/>
    <b v="1"/>
    <m/>
    <n v="0"/>
    <m/>
    <x v="0"/>
    <x v="0"/>
  </r>
  <r>
    <s v="PH-PRJ-023-01"/>
    <x v="22"/>
    <x v="0"/>
    <d v="2023-07-31T00:00:00"/>
    <d v="2023-10-05T00:00:00"/>
    <d v="2023-07-31T00:00:00"/>
    <d v="2023-10-05T00:00:00"/>
    <s v="Completed"/>
    <n v="100"/>
    <n v="21216996"/>
    <m/>
    <s v="2023-07-31T10:24:00"/>
    <s v="2023-07-31T10:24:00"/>
    <s v="system@alrashdeng.ae"/>
    <n v="1"/>
    <b v="1"/>
    <m/>
    <n v="0"/>
    <m/>
    <x v="0"/>
    <x v="0"/>
  </r>
  <r>
    <s v="PH-PRJ-023-02"/>
    <x v="22"/>
    <x v="1"/>
    <d v="2023-10-05T00:00:00"/>
    <d v="2024-02-14T00:00:00"/>
    <d v="2023-10-05T00:00:00"/>
    <d v="2024-02-14T00:00:00"/>
    <s v="Completed"/>
    <n v="100"/>
    <n v="42433993"/>
    <m/>
    <s v="2023-10-05T08:37:00"/>
    <s v="2023-10-05T08:37:00"/>
    <s v="system@alrashdeng.ae"/>
    <n v="1"/>
    <b v="1"/>
    <m/>
    <n v="0"/>
    <m/>
    <x v="0"/>
    <x v="0"/>
  </r>
  <r>
    <s v="PH-PRJ-023-03"/>
    <x v="22"/>
    <x v="2"/>
    <d v="2024-02-14T00:00:00"/>
    <d v="2024-07-21T00:00:00"/>
    <d v="2024-02-14T00:00:00"/>
    <d v="2024-07-21T00:00:00"/>
    <s v="Completed"/>
    <n v="100"/>
    <n v="50920792"/>
    <m/>
    <s v="2024-02-14T13:33:00"/>
    <s v="2024-02-14T13:33:00"/>
    <s v="system@alrashdeng.ae"/>
    <n v="1"/>
    <b v="1"/>
    <s v="Critical Phase"/>
    <n v="0"/>
    <m/>
    <x v="0"/>
    <x v="0"/>
  </r>
  <r>
    <s v="PH-PRJ-023-04"/>
    <x v="22"/>
    <x v="3"/>
    <d v="2024-07-21T00:00:00"/>
    <d v="2025-02-04T00:00:00"/>
    <d v="2024-07-21T00:00:00"/>
    <d v="2025-02-04T00:00:00"/>
    <s v="Completed"/>
    <n v="100"/>
    <n v="63650990"/>
    <m/>
    <s v="2024-07-21T16:49:00"/>
    <s v="2024-07-21T16:49:00"/>
    <s v="system@alrashdeng.ae"/>
    <n v="1"/>
    <b v="1"/>
    <m/>
    <n v="0"/>
    <m/>
    <x v="0"/>
    <x v="0"/>
  </r>
  <r>
    <s v="PH-PRJ-023-05"/>
    <x v="22"/>
    <x v="4"/>
    <d v="2025-02-04T00:00:00"/>
    <d v="2025-12-31T00:00:00"/>
    <d v="2025-02-04T00:00:00"/>
    <d v="2025-12-31T00:00:00"/>
    <s v="Completed"/>
    <n v="100"/>
    <n v="106084983"/>
    <m/>
    <s v="2025-02-04T10:44:00"/>
    <s v="2025-02-04T10:44:00"/>
    <s v="system@alrashdeng.ae"/>
    <n v="1"/>
    <b v="1"/>
    <s v="Critical Phase"/>
    <n v="0"/>
    <m/>
    <x v="0"/>
    <x v="0"/>
  </r>
  <r>
    <s v="PH-PRJ-023-06"/>
    <x v="22"/>
    <x v="5"/>
    <d v="2025-12-31T00:00:00"/>
    <d v="2026-05-12T00:00:00"/>
    <d v="2025-12-31T00:00:00"/>
    <m/>
    <s v="In Progress"/>
    <n v="31"/>
    <n v="42433993"/>
    <m/>
    <s v="2025-12-31T10:23:00"/>
    <s v="2025-12-31T10:23:00"/>
    <s v="system@alrashdeng.ae"/>
    <n v="1"/>
    <b v="1"/>
    <m/>
    <m/>
    <n v="140"/>
    <x v="1"/>
    <x v="13"/>
  </r>
  <r>
    <s v="PH-PRJ-023-07"/>
    <x v="22"/>
    <x v="6"/>
    <d v="2026-05-12T00:00:00"/>
    <d v="2026-08-25T00:00:00"/>
    <m/>
    <m/>
    <s v="Not Started"/>
    <n v="0"/>
    <n v="33947194"/>
    <m/>
    <s v="2026-05-12T07:13:00"/>
    <s v="2026-05-12T07:13:00"/>
    <s v="system@alrashdeng.ae"/>
    <n v="1"/>
    <b v="1"/>
    <m/>
    <m/>
    <n v="35"/>
    <x v="1"/>
    <x v="14"/>
  </r>
  <r>
    <s v="PH-PRJ-023-08"/>
    <x v="22"/>
    <x v="7"/>
    <d v="2026-08-25T00:00:00"/>
    <d v="2027-01-04T00:00:00"/>
    <m/>
    <m/>
    <s v="Not Started"/>
    <n v="0"/>
    <n v="42433993"/>
    <m/>
    <s v="2026-08-25T07:23:00"/>
    <s v="2026-08-25T07:23:00"/>
    <s v="system@alrashdeng.ae"/>
    <n v="1"/>
    <b v="1"/>
    <m/>
    <m/>
    <n v="-97"/>
    <x v="0"/>
    <x v="0"/>
  </r>
  <r>
    <s v="PH-PRJ-023-09"/>
    <x v="22"/>
    <x v="8"/>
    <d v="2027-01-04T00:00:00"/>
    <d v="2027-02-12T00:00:00"/>
    <m/>
    <m/>
    <s v="Not Started"/>
    <n v="0"/>
    <n v="12730198"/>
    <m/>
    <s v="2027-01-04T15:30:00"/>
    <s v="2027-01-04T15:30:00"/>
    <s v="system@alrashdeng.ae"/>
    <n v="1"/>
    <b v="1"/>
    <m/>
    <m/>
    <n v="-136"/>
    <x v="0"/>
    <x v="0"/>
  </r>
  <r>
    <s v="PH-PRJ-023-10"/>
    <x v="22"/>
    <x v="9"/>
    <d v="2027-02-12T00:00:00"/>
    <d v="2027-03-10T00:00:00"/>
    <m/>
    <m/>
    <s v="Not Started"/>
    <n v="0"/>
    <n v="8486798"/>
    <m/>
    <s v="2027-02-12T09:58:00"/>
    <s v="2027-02-12T09:58:00"/>
    <s v="system@alrashdeng.ae"/>
    <n v="1"/>
    <b v="1"/>
    <m/>
    <m/>
    <n v="-162"/>
    <x v="0"/>
    <x v="0"/>
  </r>
  <r>
    <s v="PH-PRJ-024-01"/>
    <x v="23"/>
    <x v="0"/>
    <d v="2020-06-29T00:00:00"/>
    <d v="2020-08-28T00:00:00"/>
    <d v="2020-06-29T00:00:00"/>
    <d v="2020-08-28T00:00:00"/>
    <s v="Completed"/>
    <n v="100"/>
    <n v="21853600"/>
    <m/>
    <s v="2020-06-29T08:03:00"/>
    <s v="2020-06-29T08:03:00"/>
    <s v="system@alrashdeng.ae"/>
    <n v="1"/>
    <b v="1"/>
    <m/>
    <n v="0"/>
    <m/>
    <x v="0"/>
    <x v="0"/>
  </r>
  <r>
    <s v="PH-PRJ-024-02"/>
    <x v="23"/>
    <x v="1"/>
    <d v="2020-08-28T00:00:00"/>
    <d v="2020-12-26T00:00:00"/>
    <d v="2020-08-28T00:00:00"/>
    <d v="2020-12-26T00:00:00"/>
    <s v="Completed"/>
    <n v="100"/>
    <n v="43707201"/>
    <m/>
    <s v="2020-08-28T12:23:00"/>
    <s v="2020-08-28T12:23:00"/>
    <s v="system@alrashdeng.ae"/>
    <n v="1"/>
    <b v="1"/>
    <m/>
    <n v="0"/>
    <m/>
    <x v="0"/>
    <x v="0"/>
  </r>
  <r>
    <s v="PH-PRJ-024-03"/>
    <x v="23"/>
    <x v="2"/>
    <d v="2020-12-26T00:00:00"/>
    <d v="2021-05-19T00:00:00"/>
    <d v="2020-12-26T00:00:00"/>
    <d v="2021-05-19T00:00:00"/>
    <s v="Completed"/>
    <n v="100"/>
    <n v="52448641"/>
    <m/>
    <s v="2020-12-26T09:18:00"/>
    <s v="2020-12-26T09:18:00"/>
    <s v="system@alrashdeng.ae"/>
    <n v="1"/>
    <b v="1"/>
    <s v="Critical Phase"/>
    <n v="0"/>
    <m/>
    <x v="0"/>
    <x v="0"/>
  </r>
  <r>
    <s v="PH-PRJ-024-04"/>
    <x v="23"/>
    <x v="3"/>
    <d v="2021-05-19T00:00:00"/>
    <d v="2021-11-15T00:00:00"/>
    <d v="2021-05-19T00:00:00"/>
    <d v="2021-11-15T00:00:00"/>
    <s v="Completed"/>
    <n v="100"/>
    <n v="65560801"/>
    <m/>
    <s v="2021-05-19T14:09:00"/>
    <s v="2021-05-19T14:09:00"/>
    <s v="system@alrashdeng.ae"/>
    <n v="1"/>
    <b v="1"/>
    <m/>
    <n v="0"/>
    <m/>
    <x v="0"/>
    <x v="0"/>
  </r>
  <r>
    <s v="PH-PRJ-024-05"/>
    <x v="23"/>
    <x v="4"/>
    <d v="2021-11-15T00:00:00"/>
    <d v="2022-09-11T00:00:00"/>
    <d v="2021-11-15T00:00:00"/>
    <d v="2022-09-11T00:00:00"/>
    <s v="Completed"/>
    <n v="100"/>
    <n v="109268002"/>
    <m/>
    <s v="2021-11-15T15:59:00"/>
    <s v="2021-11-15T15:59:00"/>
    <s v="system@alrashdeng.ae"/>
    <n v="1"/>
    <b v="1"/>
    <s v="Critical Phase"/>
    <n v="0"/>
    <m/>
    <x v="0"/>
    <x v="0"/>
  </r>
  <r>
    <s v="PH-PRJ-024-06"/>
    <x v="23"/>
    <x v="5"/>
    <d v="2022-09-11T00:00:00"/>
    <d v="2023-01-09T00:00:00"/>
    <d v="2022-09-11T00:00:00"/>
    <d v="2023-01-09T00:00:00"/>
    <s v="Completed"/>
    <n v="100"/>
    <n v="43707201"/>
    <m/>
    <s v="2022-09-11T13:15:00"/>
    <s v="2022-09-11T13:15:00"/>
    <s v="system@alrashdeng.ae"/>
    <n v="1"/>
    <b v="1"/>
    <m/>
    <n v="0"/>
    <m/>
    <x v="0"/>
    <x v="0"/>
  </r>
  <r>
    <s v="PH-PRJ-024-07"/>
    <x v="23"/>
    <x v="6"/>
    <d v="2023-01-09T00:00:00"/>
    <d v="2023-04-15T00:00:00"/>
    <d v="2023-01-09T00:00:00"/>
    <d v="2023-04-15T00:00:00"/>
    <s v="Completed"/>
    <n v="100"/>
    <n v="34965760"/>
    <m/>
    <s v="2023-01-09T10:52:00"/>
    <s v="2023-01-09T10:52:00"/>
    <s v="system@alrashdeng.ae"/>
    <n v="1"/>
    <b v="1"/>
    <m/>
    <n v="0"/>
    <m/>
    <x v="0"/>
    <x v="0"/>
  </r>
  <r>
    <s v="PH-PRJ-024-08"/>
    <x v="23"/>
    <x v="7"/>
    <d v="2023-04-15T00:00:00"/>
    <d v="2023-08-13T00:00:00"/>
    <d v="2023-04-15T00:00:00"/>
    <d v="2023-08-13T00:00:00"/>
    <s v="Completed"/>
    <n v="100"/>
    <n v="43707201"/>
    <m/>
    <s v="2023-04-15T10:03:00"/>
    <s v="2023-04-15T10:03:00"/>
    <s v="system@alrashdeng.ae"/>
    <n v="1"/>
    <b v="1"/>
    <m/>
    <n v="0"/>
    <m/>
    <x v="0"/>
    <x v="0"/>
  </r>
  <r>
    <s v="PH-PRJ-024-09"/>
    <x v="23"/>
    <x v="8"/>
    <d v="2023-08-13T00:00:00"/>
    <d v="2023-09-18T00:00:00"/>
    <d v="2023-08-13T00:00:00"/>
    <d v="2023-09-18T00:00:00"/>
    <s v="Completed"/>
    <n v="100"/>
    <n v="13112160"/>
    <m/>
    <s v="2023-08-13T09:07:00"/>
    <s v="2023-08-13T09:07:00"/>
    <s v="system@alrashdeng.ae"/>
    <n v="1"/>
    <b v="1"/>
    <m/>
    <n v="0"/>
    <m/>
    <x v="0"/>
    <x v="0"/>
  </r>
  <r>
    <s v="PH-PRJ-024-10"/>
    <x v="23"/>
    <x v="9"/>
    <d v="2023-09-18T00:00:00"/>
    <d v="2023-10-12T00:00:00"/>
    <d v="2023-09-18T00:00:00"/>
    <d v="2023-10-12T00:00:00"/>
    <s v="Completed"/>
    <n v="100"/>
    <n v="8741440"/>
    <m/>
    <s v="2023-09-18T09:24:00"/>
    <s v="2023-09-18T09:24:00"/>
    <s v="system@alrashdeng.ae"/>
    <n v="1"/>
    <b v="1"/>
    <m/>
    <n v="0"/>
    <m/>
    <x v="0"/>
    <x v="0"/>
  </r>
  <r>
    <s v="PH-PRJ-025-01"/>
    <x v="24"/>
    <x v="0"/>
    <d v="2022-12-12T00:00:00"/>
    <d v="2023-01-26T00:00:00"/>
    <d v="2022-12-12T00:00:00"/>
    <d v="2023-01-26T00:00:00"/>
    <s v="Completed"/>
    <n v="100"/>
    <n v="18681081"/>
    <m/>
    <s v="2022-12-12T07:44:00"/>
    <s v="2022-12-12T07:44:00"/>
    <s v="system@alrashdeng.ae"/>
    <n v="1"/>
    <b v="1"/>
    <m/>
    <n v="0"/>
    <m/>
    <x v="0"/>
    <x v="0"/>
  </r>
  <r>
    <s v="PH-PRJ-025-02"/>
    <x v="24"/>
    <x v="1"/>
    <d v="2023-01-26T00:00:00"/>
    <d v="2023-04-26T00:00:00"/>
    <d v="2023-01-26T00:00:00"/>
    <d v="2023-04-26T00:00:00"/>
    <s v="Completed"/>
    <n v="100"/>
    <n v="37362163"/>
    <m/>
    <s v="2023-01-26T13:23:00"/>
    <s v="2023-01-26T13:23:00"/>
    <s v="system@alrashdeng.ae"/>
    <n v="1"/>
    <b v="1"/>
    <m/>
    <n v="0"/>
    <m/>
    <x v="0"/>
    <x v="0"/>
  </r>
  <r>
    <s v="PH-PRJ-025-03"/>
    <x v="24"/>
    <x v="2"/>
    <d v="2023-04-26T00:00:00"/>
    <d v="2023-08-12T00:00:00"/>
    <d v="2023-04-26T00:00:00"/>
    <d v="2023-08-12T00:00:00"/>
    <s v="Completed"/>
    <n v="100"/>
    <n v="44834595"/>
    <m/>
    <s v="2023-04-26T07:44:00"/>
    <s v="2023-04-26T07:44:00"/>
    <s v="system@alrashdeng.ae"/>
    <n v="1"/>
    <b v="1"/>
    <s v="Critical Phase"/>
    <n v="0"/>
    <m/>
    <x v="0"/>
    <x v="0"/>
  </r>
  <r>
    <s v="PH-PRJ-025-04"/>
    <x v="24"/>
    <x v="3"/>
    <d v="2023-08-12T00:00:00"/>
    <d v="2023-12-25T00:00:00"/>
    <d v="2023-08-12T00:00:00"/>
    <d v="2023-12-25T00:00:00"/>
    <s v="Completed"/>
    <n v="100"/>
    <n v="56043244"/>
    <m/>
    <s v="2023-08-12T08:42:00"/>
    <s v="2023-08-12T08:42:00"/>
    <s v="system@alrashdeng.ae"/>
    <n v="1"/>
    <b v="1"/>
    <m/>
    <n v="0"/>
    <m/>
    <x v="0"/>
    <x v="0"/>
  </r>
  <r>
    <s v="PH-PRJ-025-05"/>
    <x v="24"/>
    <x v="4"/>
    <d v="2023-12-25T00:00:00"/>
    <d v="2024-08-06T00:00:00"/>
    <d v="2023-12-25T00:00:00"/>
    <d v="2024-08-06T00:00:00"/>
    <s v="Completed"/>
    <n v="100"/>
    <n v="93405408"/>
    <m/>
    <s v="2023-12-25T16:04:00"/>
    <s v="2023-12-25T16:04:00"/>
    <s v="system@alrashdeng.ae"/>
    <n v="1"/>
    <b v="1"/>
    <s v="Critical Phase"/>
    <n v="0"/>
    <m/>
    <x v="0"/>
    <x v="0"/>
  </r>
  <r>
    <s v="PH-PRJ-025-06"/>
    <x v="24"/>
    <x v="5"/>
    <d v="2024-08-06T00:00:00"/>
    <d v="2024-11-04T00:00:00"/>
    <d v="2024-08-06T00:00:00"/>
    <d v="2024-11-04T00:00:00"/>
    <s v="Completed"/>
    <n v="100"/>
    <n v="37362163"/>
    <m/>
    <s v="2024-08-06T14:53:00"/>
    <s v="2024-08-06T14:53:00"/>
    <s v="system@alrashdeng.ae"/>
    <n v="1"/>
    <b v="1"/>
    <m/>
    <n v="0"/>
    <m/>
    <x v="0"/>
    <x v="0"/>
  </r>
  <r>
    <s v="PH-PRJ-025-07"/>
    <x v="24"/>
    <x v="6"/>
    <d v="2024-11-04T00:00:00"/>
    <d v="2025-01-15T00:00:00"/>
    <d v="2024-11-04T00:00:00"/>
    <d v="2025-01-15T00:00:00"/>
    <s v="Completed"/>
    <n v="100"/>
    <n v="29889730"/>
    <m/>
    <s v="2024-11-04T16:55:00"/>
    <s v="2024-11-04T16:55:00"/>
    <s v="system@alrashdeng.ae"/>
    <n v="1"/>
    <b v="1"/>
    <m/>
    <n v="0"/>
    <m/>
    <x v="0"/>
    <x v="0"/>
  </r>
  <r>
    <s v="PH-PRJ-025-08"/>
    <x v="24"/>
    <x v="7"/>
    <d v="2025-01-15T00:00:00"/>
    <d v="2025-04-15T00:00:00"/>
    <d v="2025-01-15T00:00:00"/>
    <d v="2025-04-15T00:00:00"/>
    <s v="Completed"/>
    <n v="100"/>
    <n v="37362163"/>
    <m/>
    <s v="2025-01-15T09:01:00"/>
    <s v="2025-01-15T09:01:00"/>
    <s v="system@alrashdeng.ae"/>
    <n v="1"/>
    <b v="1"/>
    <m/>
    <n v="0"/>
    <m/>
    <x v="0"/>
    <x v="0"/>
  </r>
  <r>
    <s v="PH-PRJ-025-09"/>
    <x v="24"/>
    <x v="8"/>
    <d v="2025-04-15T00:00:00"/>
    <d v="2025-05-12T00:00:00"/>
    <d v="2025-04-15T00:00:00"/>
    <d v="2025-05-12T00:00:00"/>
    <s v="Completed"/>
    <n v="100"/>
    <n v="11208648"/>
    <m/>
    <s v="2025-04-15T09:23:00"/>
    <s v="2025-04-15T09:23:00"/>
    <s v="system@alrashdeng.ae"/>
    <n v="1"/>
    <b v="1"/>
    <m/>
    <n v="0"/>
    <m/>
    <x v="0"/>
    <x v="0"/>
  </r>
  <r>
    <s v="PH-PRJ-025-10"/>
    <x v="24"/>
    <x v="9"/>
    <d v="2025-05-12T00:00:00"/>
    <d v="2025-05-30T00:00:00"/>
    <d v="2025-05-12T00:00:00"/>
    <d v="2025-05-30T00:00:00"/>
    <s v="Completed"/>
    <n v="100"/>
    <n v="7472432"/>
    <m/>
    <s v="2025-05-12T09:05:00"/>
    <s v="2025-05-12T09:05:00"/>
    <s v="system@alrashdeng.ae"/>
    <n v="1"/>
    <b v="1"/>
    <m/>
    <n v="0"/>
    <m/>
    <x v="0"/>
    <x v="0"/>
  </r>
  <r>
    <s v="PH-PRJ-026-01"/>
    <x v="25"/>
    <x v="0"/>
    <d v="2020-12-31T00:00:00"/>
    <d v="2021-03-04T00:00:00"/>
    <d v="2020-12-31T00:00:00"/>
    <d v="2021-03-04T00:00:00"/>
    <s v="Completed"/>
    <n v="100"/>
    <n v="15894586"/>
    <m/>
    <s v="2020-12-31T10:04:00"/>
    <s v="2020-12-31T10:04:00"/>
    <s v="system@alrashdeng.ae"/>
    <n v="1"/>
    <b v="1"/>
    <m/>
    <n v="0"/>
    <m/>
    <x v="0"/>
    <x v="0"/>
  </r>
  <r>
    <s v="PH-PRJ-026-02"/>
    <x v="25"/>
    <x v="1"/>
    <d v="2021-03-04T00:00:00"/>
    <d v="2021-07-08T00:00:00"/>
    <d v="2021-03-04T00:00:00"/>
    <d v="2021-07-08T00:00:00"/>
    <s v="Completed"/>
    <n v="100"/>
    <n v="31789173"/>
    <m/>
    <s v="2021-03-04T07:36:00"/>
    <s v="2021-03-04T07:36:00"/>
    <s v="system@alrashdeng.ae"/>
    <n v="1"/>
    <b v="1"/>
    <m/>
    <n v="0"/>
    <m/>
    <x v="0"/>
    <x v="0"/>
  </r>
  <r>
    <s v="PH-PRJ-026-03"/>
    <x v="25"/>
    <x v="2"/>
    <d v="2021-07-08T00:00:00"/>
    <d v="2021-12-06T00:00:00"/>
    <d v="2021-07-08T00:00:00"/>
    <d v="2021-12-06T00:00:00"/>
    <s v="Completed"/>
    <n v="100"/>
    <n v="38147008"/>
    <m/>
    <s v="2021-07-08T13:09:00"/>
    <s v="2021-07-08T13:09:00"/>
    <s v="system@alrashdeng.ae"/>
    <n v="1"/>
    <b v="1"/>
    <s v="Critical Phase"/>
    <n v="0"/>
    <m/>
    <x v="0"/>
    <x v="0"/>
  </r>
  <r>
    <s v="PH-PRJ-026-04"/>
    <x v="25"/>
    <x v="3"/>
    <d v="2021-12-06T00:00:00"/>
    <d v="2022-06-13T00:00:00"/>
    <d v="2021-12-06T00:00:00"/>
    <d v="2022-06-13T00:00:00"/>
    <s v="Completed"/>
    <n v="100"/>
    <n v="47683760"/>
    <m/>
    <s v="2021-12-06T09:30:00"/>
    <s v="2021-12-06T09:30:00"/>
    <s v="system@alrashdeng.ae"/>
    <n v="1"/>
    <b v="1"/>
    <m/>
    <n v="0"/>
    <m/>
    <x v="0"/>
    <x v="0"/>
  </r>
  <r>
    <s v="PH-PRJ-026-05"/>
    <x v="25"/>
    <x v="4"/>
    <d v="2022-06-13T00:00:00"/>
    <d v="2023-04-24T00:00:00"/>
    <d v="2022-06-13T00:00:00"/>
    <d v="2023-04-24T00:00:00"/>
    <s v="Completed"/>
    <n v="100"/>
    <n v="79472933"/>
    <m/>
    <s v="2022-06-13T09:47:00"/>
    <s v="2022-06-13T09:47:00"/>
    <s v="system@alrashdeng.ae"/>
    <n v="1"/>
    <b v="1"/>
    <s v="Critical Phase"/>
    <n v="0"/>
    <m/>
    <x v="0"/>
    <x v="0"/>
  </r>
  <r>
    <s v="PH-PRJ-026-06"/>
    <x v="25"/>
    <x v="5"/>
    <d v="2023-04-24T00:00:00"/>
    <d v="2023-08-28T00:00:00"/>
    <d v="2023-04-24T00:00:00"/>
    <d v="2023-08-28T00:00:00"/>
    <s v="Completed"/>
    <n v="100"/>
    <n v="31789173"/>
    <m/>
    <s v="2023-04-24T15:44:00"/>
    <s v="2023-04-24T15:44:00"/>
    <s v="system@alrashdeng.ae"/>
    <n v="1"/>
    <b v="1"/>
    <m/>
    <n v="0"/>
    <m/>
    <x v="0"/>
    <x v="0"/>
  </r>
  <r>
    <s v="PH-PRJ-026-07"/>
    <x v="25"/>
    <x v="6"/>
    <d v="2023-08-28T00:00:00"/>
    <d v="2023-12-06T00:00:00"/>
    <d v="2023-08-28T00:00:00"/>
    <d v="2023-12-06T00:00:00"/>
    <s v="Completed"/>
    <n v="100"/>
    <n v="25431338"/>
    <m/>
    <s v="2023-08-28T11:30:00"/>
    <s v="2023-08-28T11:30:00"/>
    <s v="system@alrashdeng.ae"/>
    <n v="1"/>
    <b v="1"/>
    <m/>
    <n v="0"/>
    <m/>
    <x v="0"/>
    <x v="0"/>
  </r>
  <r>
    <s v="PH-PRJ-026-08"/>
    <x v="25"/>
    <x v="7"/>
    <d v="2023-12-06T00:00:00"/>
    <d v="2024-04-10T00:00:00"/>
    <d v="2023-12-06T00:00:00"/>
    <d v="2024-04-10T00:00:00"/>
    <s v="Completed"/>
    <n v="100"/>
    <n v="31789173"/>
    <m/>
    <s v="2023-12-06T13:46:00"/>
    <s v="2023-12-06T13:46:00"/>
    <s v="system@alrashdeng.ae"/>
    <n v="1"/>
    <b v="1"/>
    <m/>
    <n v="0"/>
    <m/>
    <x v="0"/>
    <x v="0"/>
  </r>
  <r>
    <s v="PH-PRJ-026-09"/>
    <x v="25"/>
    <x v="8"/>
    <d v="2024-04-10T00:00:00"/>
    <d v="2024-05-17T00:00:00"/>
    <d v="2024-04-10T00:00:00"/>
    <d v="2024-05-17T00:00:00"/>
    <s v="Completed"/>
    <n v="100"/>
    <n v="9536752"/>
    <m/>
    <s v="2024-04-10T12:28:00"/>
    <s v="2024-04-10T12:28:00"/>
    <s v="system@alrashdeng.ae"/>
    <n v="1"/>
    <b v="1"/>
    <m/>
    <n v="0"/>
    <m/>
    <x v="0"/>
    <x v="0"/>
  </r>
  <r>
    <s v="PH-PRJ-026-10"/>
    <x v="25"/>
    <x v="9"/>
    <d v="2024-05-17T00:00:00"/>
    <d v="2024-06-11T00:00:00"/>
    <d v="2024-05-17T00:00:00"/>
    <d v="2024-06-11T00:00:00"/>
    <s v="Completed"/>
    <n v="100"/>
    <n v="6357834"/>
    <m/>
    <s v="2024-05-17T17:44:00"/>
    <s v="2024-05-17T17:44:00"/>
    <s v="system@alrashdeng.ae"/>
    <n v="1"/>
    <b v="1"/>
    <m/>
    <n v="0"/>
    <m/>
    <x v="0"/>
    <x v="0"/>
  </r>
  <r>
    <s v="PH-PRJ-027-01"/>
    <x v="26"/>
    <x v="0"/>
    <d v="2024-10-17T00:00:00"/>
    <d v="2024-11-08T00:00:00"/>
    <d v="2024-10-17T00:00:00"/>
    <d v="2024-11-08T00:00:00"/>
    <s v="Completed"/>
    <n v="100"/>
    <n v="18241998"/>
    <m/>
    <s v="2024-10-17T07:18:00"/>
    <s v="2024-10-17T07:18:00"/>
    <s v="system@alrashdeng.ae"/>
    <n v="1"/>
    <b v="1"/>
    <m/>
    <n v="0"/>
    <m/>
    <x v="0"/>
    <x v="0"/>
  </r>
  <r>
    <s v="PH-PRJ-027-02"/>
    <x v="26"/>
    <x v="1"/>
    <d v="2024-11-08T00:00:00"/>
    <d v="2024-12-23T00:00:00"/>
    <d v="2024-11-08T00:00:00"/>
    <d v="2024-12-23T00:00:00"/>
    <s v="Completed"/>
    <n v="100"/>
    <n v="36483997"/>
    <m/>
    <s v="2024-11-08T08:09:00"/>
    <s v="2024-11-08T08:09:00"/>
    <s v="system@alrashdeng.ae"/>
    <n v="1"/>
    <b v="1"/>
    <m/>
    <n v="0"/>
    <m/>
    <x v="0"/>
    <x v="0"/>
  </r>
  <r>
    <s v="PH-PRJ-027-03"/>
    <x v="26"/>
    <x v="2"/>
    <d v="2024-12-23T00:00:00"/>
    <d v="2025-02-15T00:00:00"/>
    <d v="2024-12-23T00:00:00"/>
    <d v="2025-02-15T00:00:00"/>
    <s v="Completed"/>
    <n v="100"/>
    <n v="43780796"/>
    <m/>
    <s v="2024-12-23T07:56:00"/>
    <s v="2024-12-23T07:56:00"/>
    <s v="system@alrashdeng.ae"/>
    <n v="1"/>
    <b v="1"/>
    <s v="Critical Phase"/>
    <n v="0"/>
    <m/>
    <x v="0"/>
    <x v="0"/>
  </r>
  <r>
    <s v="PH-PRJ-027-04"/>
    <x v="26"/>
    <x v="3"/>
    <d v="2025-02-15T00:00:00"/>
    <d v="2025-04-23T00:00:00"/>
    <d v="2025-02-15T00:00:00"/>
    <d v="2025-04-23T00:00:00"/>
    <s v="Completed"/>
    <n v="100"/>
    <n v="54725995"/>
    <m/>
    <s v="2025-02-15T17:02:00"/>
    <s v="2025-02-15T17:02:00"/>
    <s v="system@alrashdeng.ae"/>
    <n v="1"/>
    <b v="1"/>
    <m/>
    <n v="0"/>
    <m/>
    <x v="0"/>
    <x v="0"/>
  </r>
  <r>
    <s v="PH-PRJ-027-05"/>
    <x v="26"/>
    <x v="4"/>
    <d v="2025-04-23T00:00:00"/>
    <d v="2025-08-13T00:00:00"/>
    <d v="2025-04-23T00:00:00"/>
    <d v="2025-08-13T00:00:00"/>
    <s v="Completed"/>
    <n v="100"/>
    <n v="91209993"/>
    <m/>
    <s v="2025-04-23T16:48:00"/>
    <s v="2025-04-23T16:48:00"/>
    <s v="system@alrashdeng.ae"/>
    <n v="1"/>
    <b v="1"/>
    <s v="Critical Phase"/>
    <n v="0"/>
    <m/>
    <x v="0"/>
    <x v="0"/>
  </r>
  <r>
    <s v="PH-PRJ-027-06"/>
    <x v="26"/>
    <x v="5"/>
    <d v="2025-08-13T00:00:00"/>
    <d v="2025-09-27T00:00:00"/>
    <d v="2025-08-13T00:00:00"/>
    <d v="2025-09-27T00:00:00"/>
    <s v="Completed"/>
    <n v="100"/>
    <n v="36483997"/>
    <m/>
    <s v="2025-08-13T09:32:00"/>
    <s v="2025-08-13T09:32:00"/>
    <s v="system@alrashdeng.ae"/>
    <n v="1"/>
    <b v="1"/>
    <m/>
    <n v="0"/>
    <m/>
    <x v="0"/>
    <x v="0"/>
  </r>
  <r>
    <s v="PH-PRJ-027-07"/>
    <x v="26"/>
    <x v="6"/>
    <d v="2025-09-27T00:00:00"/>
    <d v="2025-11-02T00:00:00"/>
    <d v="2025-09-27T00:00:00"/>
    <d v="2025-11-02T00:00:00"/>
    <s v="Completed"/>
    <n v="100"/>
    <n v="29187197"/>
    <m/>
    <s v="2025-09-27T09:00:00"/>
    <s v="2025-09-27T09:00:00"/>
    <s v="system@alrashdeng.ae"/>
    <n v="1"/>
    <b v="1"/>
    <m/>
    <n v="0"/>
    <m/>
    <x v="0"/>
    <x v="0"/>
  </r>
  <r>
    <s v="PH-PRJ-027-08"/>
    <x v="26"/>
    <x v="7"/>
    <d v="2025-11-02T00:00:00"/>
    <d v="2025-12-17T00:00:00"/>
    <d v="2025-11-02T00:00:00"/>
    <d v="2025-12-17T00:00:00"/>
    <s v="Completed"/>
    <n v="100"/>
    <n v="36483997"/>
    <m/>
    <s v="2025-11-02T13:53:00"/>
    <s v="2025-11-02T13:53:00"/>
    <s v="system@alrashdeng.ae"/>
    <n v="1"/>
    <b v="1"/>
    <m/>
    <n v="0"/>
    <m/>
    <x v="0"/>
    <x v="0"/>
  </r>
  <r>
    <s v="PH-PRJ-027-09"/>
    <x v="26"/>
    <x v="8"/>
    <d v="2025-12-17T00:00:00"/>
    <d v="2025-12-30T00:00:00"/>
    <d v="2025-12-17T00:00:00"/>
    <d v="2025-12-30T00:00:00"/>
    <s v="Completed"/>
    <n v="100"/>
    <n v="10945199"/>
    <m/>
    <s v="2025-12-17T13:43:00"/>
    <s v="2025-12-17T13:43:00"/>
    <s v="system@alrashdeng.ae"/>
    <n v="1"/>
    <b v="1"/>
    <m/>
    <n v="0"/>
    <m/>
    <x v="0"/>
    <x v="0"/>
  </r>
  <r>
    <s v="PH-PRJ-027-10"/>
    <x v="26"/>
    <x v="9"/>
    <d v="2025-12-30T00:00:00"/>
    <d v="2026-01-08T00:00:00"/>
    <d v="2025-12-30T00:00:00"/>
    <d v="2026-01-08T00:00:00"/>
    <s v="Completed"/>
    <n v="100"/>
    <n v="7296799"/>
    <m/>
    <s v="2025-12-30T14:35:00"/>
    <s v="2025-12-30T14:35:00"/>
    <s v="system@alrashdeng.ae"/>
    <n v="1"/>
    <b v="1"/>
    <m/>
    <n v="0"/>
    <m/>
    <x v="0"/>
    <x v="0"/>
  </r>
  <r>
    <s v="PH-PRJ-028-01"/>
    <x v="27"/>
    <x v="0"/>
    <d v="2021-12-31T00:00:00"/>
    <d v="2022-03-10T00:00:00"/>
    <d v="2021-12-31T00:00:00"/>
    <d v="2022-03-10T00:00:00"/>
    <s v="Completed"/>
    <n v="100"/>
    <n v="1117217"/>
    <m/>
    <s v="2021-12-31T11:58:00"/>
    <s v="2021-12-31T11:58:00"/>
    <s v="system@alrashdeng.ae"/>
    <n v="1"/>
    <b v="1"/>
    <m/>
    <n v="0"/>
    <m/>
    <x v="0"/>
    <x v="0"/>
  </r>
  <r>
    <s v="PH-PRJ-028-02"/>
    <x v="27"/>
    <x v="1"/>
    <d v="2022-03-10T00:00:00"/>
    <d v="2022-07-26T00:00:00"/>
    <d v="2022-03-10T00:00:00"/>
    <d v="2022-07-26T00:00:00"/>
    <s v="Completed"/>
    <n v="100"/>
    <n v="2234435"/>
    <m/>
    <s v="2022-03-10T16:32:00"/>
    <s v="2022-03-10T16:32:00"/>
    <s v="system@alrashdeng.ae"/>
    <n v="1"/>
    <b v="1"/>
    <m/>
    <n v="0"/>
    <m/>
    <x v="0"/>
    <x v="0"/>
  </r>
  <r>
    <s v="PH-PRJ-028-03"/>
    <x v="27"/>
    <x v="2"/>
    <d v="2022-07-26T00:00:00"/>
    <d v="2023-01-07T00:00:00"/>
    <d v="2022-07-26T00:00:00"/>
    <d v="2023-01-07T00:00:00"/>
    <s v="Completed"/>
    <n v="100"/>
    <n v="2681322"/>
    <m/>
    <s v="2022-07-26T11:45:00"/>
    <s v="2022-07-26T11:45:00"/>
    <s v="system@alrashdeng.ae"/>
    <n v="1"/>
    <b v="1"/>
    <s v="Critical Phase"/>
    <n v="0"/>
    <m/>
    <x v="0"/>
    <x v="0"/>
  </r>
  <r>
    <s v="PH-PRJ-028-04"/>
    <x v="27"/>
    <x v="3"/>
    <d v="2023-01-07T00:00:00"/>
    <d v="2023-08-02T00:00:00"/>
    <d v="2023-01-07T00:00:00"/>
    <d v="2023-08-02T00:00:00"/>
    <s v="Completed"/>
    <n v="100"/>
    <n v="3351653"/>
    <m/>
    <s v="2023-01-07T10:27:00"/>
    <s v="2023-01-07T10:27:00"/>
    <s v="system@alrashdeng.ae"/>
    <n v="1"/>
    <b v="1"/>
    <m/>
    <n v="0"/>
    <m/>
    <x v="0"/>
    <x v="0"/>
  </r>
  <r>
    <s v="PH-PRJ-028-05"/>
    <x v="27"/>
    <x v="4"/>
    <d v="2023-08-02T00:00:00"/>
    <d v="2024-07-12T00:00:00"/>
    <d v="2023-08-02T00:00:00"/>
    <d v="2024-07-12T00:00:00"/>
    <s v="Completed"/>
    <n v="100"/>
    <n v="5586089"/>
    <m/>
    <s v="2023-08-02T09:17:00"/>
    <s v="2023-08-02T09:17:00"/>
    <s v="system@alrashdeng.ae"/>
    <n v="1"/>
    <b v="1"/>
    <s v="Critical Phase"/>
    <n v="0"/>
    <m/>
    <x v="0"/>
    <x v="0"/>
  </r>
  <r>
    <s v="PH-PRJ-028-06"/>
    <x v="27"/>
    <x v="5"/>
    <d v="2024-07-12T00:00:00"/>
    <d v="2024-11-27T00:00:00"/>
    <d v="2024-07-12T00:00:00"/>
    <d v="2024-11-27T00:00:00"/>
    <s v="Completed"/>
    <n v="100"/>
    <n v="2234435"/>
    <m/>
    <s v="2024-07-12T08:33:00"/>
    <s v="2024-07-12T08:33:00"/>
    <s v="system@alrashdeng.ae"/>
    <n v="1"/>
    <b v="1"/>
    <m/>
    <n v="0"/>
    <m/>
    <x v="0"/>
    <x v="0"/>
  </r>
  <r>
    <s v="PH-PRJ-028-07"/>
    <x v="27"/>
    <x v="6"/>
    <d v="2024-11-27T00:00:00"/>
    <d v="2025-03-17T00:00:00"/>
    <d v="2024-11-27T00:00:00"/>
    <d v="2025-03-17T00:00:00"/>
    <s v="Completed"/>
    <n v="100"/>
    <n v="1787548"/>
    <m/>
    <s v="2024-11-27T13:08:00"/>
    <s v="2024-11-27T13:08:00"/>
    <s v="system@alrashdeng.ae"/>
    <n v="1"/>
    <b v="1"/>
    <m/>
    <n v="0"/>
    <m/>
    <x v="0"/>
    <x v="0"/>
  </r>
  <r>
    <s v="PH-PRJ-028-08"/>
    <x v="27"/>
    <x v="7"/>
    <d v="2025-03-17T00:00:00"/>
    <d v="2025-08-02T00:00:00"/>
    <d v="2025-03-17T00:00:00"/>
    <d v="2025-08-02T00:00:00"/>
    <s v="Completed"/>
    <n v="100"/>
    <n v="2234435"/>
    <m/>
    <s v="2025-03-17T10:25:00"/>
    <s v="2025-03-17T10:25:00"/>
    <s v="system@alrashdeng.ae"/>
    <n v="1"/>
    <b v="1"/>
    <m/>
    <n v="0"/>
    <m/>
    <x v="0"/>
    <x v="0"/>
  </r>
  <r>
    <s v="PH-PRJ-028-09"/>
    <x v="27"/>
    <x v="8"/>
    <d v="2025-08-02T00:00:00"/>
    <d v="2025-09-12T00:00:00"/>
    <d v="2025-08-02T00:00:00"/>
    <d v="2025-09-12T00:00:00"/>
    <s v="Completed"/>
    <n v="100"/>
    <n v="670330"/>
    <m/>
    <s v="2025-08-02T16:03:00"/>
    <s v="2025-08-02T16:03:00"/>
    <s v="system@alrashdeng.ae"/>
    <n v="1"/>
    <b v="1"/>
    <m/>
    <n v="0"/>
    <m/>
    <x v="0"/>
    <x v="0"/>
  </r>
  <r>
    <s v="PH-PRJ-028-10"/>
    <x v="27"/>
    <x v="9"/>
    <d v="2025-09-12T00:00:00"/>
    <d v="2025-10-09T00:00:00"/>
    <d v="2025-09-12T00:00:00"/>
    <d v="2025-10-09T00:00:00"/>
    <s v="Completed"/>
    <n v="100"/>
    <n v="446887"/>
    <m/>
    <s v="2025-09-12T10:25:00"/>
    <s v="2025-09-12T10:25:00"/>
    <s v="system@alrashdeng.ae"/>
    <n v="1"/>
    <b v="1"/>
    <m/>
    <n v="0"/>
    <m/>
    <x v="0"/>
    <x v="0"/>
  </r>
  <r>
    <s v="PH-PRJ-029-01"/>
    <x v="28"/>
    <x v="0"/>
    <d v="2022-05-31T00:00:00"/>
    <d v="2022-07-15T00:00:00"/>
    <d v="2022-05-31T00:00:00"/>
    <d v="2022-07-15T00:00:00"/>
    <s v="Completed"/>
    <n v="100"/>
    <n v="18850861"/>
    <m/>
    <s v="2022-05-31T09:52:00"/>
    <s v="2022-05-31T09:52:00"/>
    <s v="system@alrashdeng.ae"/>
    <n v="1"/>
    <b v="1"/>
    <m/>
    <n v="0"/>
    <m/>
    <x v="0"/>
    <x v="0"/>
  </r>
  <r>
    <s v="PH-PRJ-029-02"/>
    <x v="28"/>
    <x v="1"/>
    <d v="2022-07-15T00:00:00"/>
    <d v="2022-10-13T00:00:00"/>
    <d v="2022-07-15T00:00:00"/>
    <d v="2022-10-13T00:00:00"/>
    <s v="Completed"/>
    <n v="100"/>
    <n v="37701722"/>
    <m/>
    <s v="2022-07-15T15:38:00"/>
    <s v="2022-07-15T15:38:00"/>
    <s v="system@alrashdeng.ae"/>
    <n v="1"/>
    <b v="1"/>
    <m/>
    <n v="0"/>
    <m/>
    <x v="0"/>
    <x v="0"/>
  </r>
  <r>
    <s v="PH-PRJ-029-03"/>
    <x v="28"/>
    <x v="2"/>
    <d v="2022-10-13T00:00:00"/>
    <d v="2023-01-29T00:00:00"/>
    <d v="2022-10-13T00:00:00"/>
    <d v="2023-01-29T00:00:00"/>
    <s v="Completed"/>
    <n v="100"/>
    <n v="45242066"/>
    <m/>
    <s v="2022-10-13T08:52:00"/>
    <s v="2022-10-13T08:52:00"/>
    <s v="system@alrashdeng.ae"/>
    <n v="1"/>
    <b v="1"/>
    <s v="Critical Phase"/>
    <n v="0"/>
    <m/>
    <x v="0"/>
    <x v="0"/>
  </r>
  <r>
    <s v="PH-PRJ-029-04"/>
    <x v="28"/>
    <x v="3"/>
    <d v="2023-01-29T00:00:00"/>
    <d v="2023-06-13T00:00:00"/>
    <d v="2023-01-29T00:00:00"/>
    <d v="2023-06-13T00:00:00"/>
    <s v="Completed"/>
    <n v="100"/>
    <n v="56552583"/>
    <m/>
    <s v="2023-01-29T14:30:00"/>
    <s v="2023-01-29T14:30:00"/>
    <s v="system@alrashdeng.ae"/>
    <n v="1"/>
    <b v="1"/>
    <m/>
    <n v="0"/>
    <m/>
    <x v="0"/>
    <x v="0"/>
  </r>
  <r>
    <s v="PH-PRJ-029-05"/>
    <x v="28"/>
    <x v="4"/>
    <d v="2023-06-13T00:00:00"/>
    <d v="2024-01-24T00:00:00"/>
    <d v="2023-06-13T00:00:00"/>
    <d v="2024-01-24T00:00:00"/>
    <s v="Completed"/>
    <n v="100"/>
    <n v="94254305"/>
    <m/>
    <s v="2023-06-13T12:41:00"/>
    <s v="2023-06-13T12:41:00"/>
    <s v="system@alrashdeng.ae"/>
    <n v="1"/>
    <b v="1"/>
    <s v="Critical Phase"/>
    <n v="0"/>
    <m/>
    <x v="0"/>
    <x v="0"/>
  </r>
  <r>
    <s v="PH-PRJ-029-06"/>
    <x v="28"/>
    <x v="5"/>
    <d v="2024-01-24T00:00:00"/>
    <d v="2024-04-23T00:00:00"/>
    <d v="2024-01-24T00:00:00"/>
    <d v="2024-04-23T00:00:00"/>
    <s v="Completed"/>
    <n v="100"/>
    <n v="37701722"/>
    <m/>
    <s v="2024-01-24T17:25:00"/>
    <s v="2024-01-24T17:25:00"/>
    <s v="system@alrashdeng.ae"/>
    <n v="1"/>
    <b v="1"/>
    <m/>
    <n v="0"/>
    <m/>
    <x v="0"/>
    <x v="0"/>
  </r>
  <r>
    <s v="PH-PRJ-029-07"/>
    <x v="28"/>
    <x v="6"/>
    <d v="2024-04-23T00:00:00"/>
    <d v="2024-07-04T00:00:00"/>
    <d v="2024-04-23T00:00:00"/>
    <d v="2024-07-04T00:00:00"/>
    <s v="Completed"/>
    <n v="100"/>
    <n v="30161377"/>
    <m/>
    <s v="2024-04-23T13:10:00"/>
    <s v="2024-04-23T13:10:00"/>
    <s v="system@alrashdeng.ae"/>
    <n v="1"/>
    <b v="1"/>
    <m/>
    <n v="0"/>
    <m/>
    <x v="0"/>
    <x v="0"/>
  </r>
  <r>
    <s v="PH-PRJ-029-08"/>
    <x v="28"/>
    <x v="7"/>
    <d v="2024-07-04T00:00:00"/>
    <d v="2024-10-02T00:00:00"/>
    <d v="2024-07-04T00:00:00"/>
    <d v="2024-10-02T00:00:00"/>
    <s v="Completed"/>
    <n v="100"/>
    <n v="37701722"/>
    <m/>
    <s v="2024-07-04T07:51:00"/>
    <s v="2024-07-04T07:51:00"/>
    <s v="system@alrashdeng.ae"/>
    <n v="1"/>
    <b v="1"/>
    <m/>
    <n v="0"/>
    <m/>
    <x v="0"/>
    <x v="0"/>
  </r>
  <r>
    <s v="PH-PRJ-029-09"/>
    <x v="28"/>
    <x v="8"/>
    <d v="2024-10-02T00:00:00"/>
    <d v="2024-10-29T00:00:00"/>
    <d v="2024-10-02T00:00:00"/>
    <d v="2024-10-29T00:00:00"/>
    <s v="Completed"/>
    <n v="100"/>
    <n v="11310516"/>
    <m/>
    <s v="2024-10-02T12:41:00"/>
    <s v="2024-10-02T12:41:00"/>
    <s v="system@alrashdeng.ae"/>
    <n v="1"/>
    <b v="1"/>
    <m/>
    <n v="0"/>
    <m/>
    <x v="0"/>
    <x v="0"/>
  </r>
  <r>
    <s v="PH-PRJ-029-10"/>
    <x v="28"/>
    <x v="9"/>
    <d v="2024-10-29T00:00:00"/>
    <d v="2024-11-16T00:00:00"/>
    <d v="2024-10-29T00:00:00"/>
    <d v="2024-11-16T00:00:00"/>
    <s v="Completed"/>
    <n v="100"/>
    <n v="7540344"/>
    <m/>
    <s v="2024-10-29T13:12:00"/>
    <s v="2024-10-29T13:12:00"/>
    <s v="system@alrashdeng.ae"/>
    <n v="1"/>
    <b v="1"/>
    <m/>
    <n v="0"/>
    <m/>
    <x v="0"/>
    <x v="0"/>
  </r>
  <r>
    <s v="PH-PRJ-030-01"/>
    <x v="29"/>
    <x v="0"/>
    <d v="2021-06-04T00:00:00"/>
    <d v="2021-07-26T00:00:00"/>
    <d v="2021-06-04T00:00:00"/>
    <d v="2021-07-26T00:00:00"/>
    <s v="Completed"/>
    <n v="100"/>
    <n v="20519768"/>
    <m/>
    <s v="2021-06-04T11:06:00"/>
    <s v="2021-06-04T11:06:00"/>
    <s v="system@alrashdeng.ae"/>
    <n v="1"/>
    <b v="1"/>
    <m/>
    <n v="0"/>
    <m/>
    <x v="0"/>
    <x v="0"/>
  </r>
  <r>
    <s v="PH-PRJ-030-02"/>
    <x v="29"/>
    <x v="1"/>
    <d v="2021-07-26T00:00:00"/>
    <d v="2021-11-08T00:00:00"/>
    <d v="2021-07-26T00:00:00"/>
    <d v="2021-11-08T00:00:00"/>
    <s v="Completed"/>
    <n v="100"/>
    <n v="41039536"/>
    <m/>
    <s v="2021-07-26T08:04:00"/>
    <s v="2021-07-26T08:04:00"/>
    <s v="system@alrashdeng.ae"/>
    <n v="1"/>
    <b v="1"/>
    <m/>
    <n v="0"/>
    <m/>
    <x v="0"/>
    <x v="0"/>
  </r>
  <r>
    <s v="PH-PRJ-030-03"/>
    <x v="29"/>
    <x v="2"/>
    <d v="2021-11-08T00:00:00"/>
    <d v="2022-03-14T00:00:00"/>
    <d v="2021-11-08T00:00:00"/>
    <d v="2022-03-14T00:00:00"/>
    <s v="Completed"/>
    <n v="100"/>
    <n v="49247443"/>
    <m/>
    <s v="2021-11-08T12:38:00"/>
    <s v="2021-11-08T12:38:00"/>
    <s v="system@alrashdeng.ae"/>
    <n v="1"/>
    <b v="1"/>
    <s v="Critical Phase"/>
    <n v="0"/>
    <m/>
    <x v="0"/>
    <x v="0"/>
  </r>
  <r>
    <s v="PH-PRJ-030-04"/>
    <x v="29"/>
    <x v="3"/>
    <d v="2022-03-14T00:00:00"/>
    <d v="2022-08-18T00:00:00"/>
    <d v="2022-03-14T00:00:00"/>
    <d v="2022-08-18T00:00:00"/>
    <s v="Completed"/>
    <n v="100"/>
    <n v="61559304"/>
    <m/>
    <s v="2022-03-14T12:01:00"/>
    <s v="2022-03-14T12:01:00"/>
    <s v="system@alrashdeng.ae"/>
    <n v="1"/>
    <b v="1"/>
    <m/>
    <n v="0"/>
    <m/>
    <x v="0"/>
    <x v="0"/>
  </r>
  <r>
    <s v="PH-PRJ-030-05"/>
    <x v="29"/>
    <x v="4"/>
    <d v="2022-08-18T00:00:00"/>
    <d v="2023-05-07T00:00:00"/>
    <d v="2022-08-18T00:00:00"/>
    <d v="2023-05-07T00:00:00"/>
    <s v="Completed"/>
    <n v="100"/>
    <n v="102598840"/>
    <m/>
    <s v="2022-08-18T10:18:00"/>
    <s v="2022-08-18T10:18:00"/>
    <s v="system@alrashdeng.ae"/>
    <n v="1"/>
    <b v="1"/>
    <s v="Critical Phase"/>
    <n v="0"/>
    <m/>
    <x v="0"/>
    <x v="0"/>
  </r>
  <r>
    <s v="PH-PRJ-030-06"/>
    <x v="29"/>
    <x v="5"/>
    <d v="2023-05-07T00:00:00"/>
    <d v="2023-08-20T00:00:00"/>
    <d v="2023-05-07T00:00:00"/>
    <d v="2023-08-20T00:00:00"/>
    <s v="Completed"/>
    <n v="100"/>
    <n v="41039536"/>
    <m/>
    <s v="2023-05-07T09:34:00"/>
    <s v="2023-05-07T09:34:00"/>
    <s v="system@alrashdeng.ae"/>
    <n v="1"/>
    <b v="1"/>
    <m/>
    <n v="0"/>
    <m/>
    <x v="0"/>
    <x v="0"/>
  </r>
  <r>
    <s v="PH-PRJ-030-07"/>
    <x v="29"/>
    <x v="6"/>
    <d v="2023-08-20T00:00:00"/>
    <d v="2023-11-12T00:00:00"/>
    <d v="2023-08-20T00:00:00"/>
    <d v="2023-11-12T00:00:00"/>
    <s v="Completed"/>
    <n v="100"/>
    <n v="32831628"/>
    <m/>
    <s v="2023-08-20T08:04:00"/>
    <s v="2023-08-20T08:04:00"/>
    <s v="system@alrashdeng.ae"/>
    <n v="1"/>
    <b v="1"/>
    <m/>
    <n v="0"/>
    <m/>
    <x v="0"/>
    <x v="0"/>
  </r>
  <r>
    <s v="PH-PRJ-030-08"/>
    <x v="29"/>
    <x v="7"/>
    <d v="2023-11-12T00:00:00"/>
    <d v="2024-02-25T00:00:00"/>
    <d v="2023-11-12T00:00:00"/>
    <d v="2024-02-25T00:00:00"/>
    <s v="Completed"/>
    <n v="100"/>
    <n v="41039536"/>
    <m/>
    <s v="2023-11-12T10:38:00"/>
    <s v="2023-11-12T10:38:00"/>
    <s v="system@alrashdeng.ae"/>
    <n v="1"/>
    <b v="1"/>
    <m/>
    <n v="0"/>
    <m/>
    <x v="0"/>
    <x v="0"/>
  </r>
  <r>
    <s v="PH-PRJ-030-09"/>
    <x v="29"/>
    <x v="8"/>
    <d v="2024-02-25T00:00:00"/>
    <d v="2024-03-27T00:00:00"/>
    <d v="2024-02-25T00:00:00"/>
    <d v="2024-03-27T00:00:00"/>
    <s v="Completed"/>
    <n v="100"/>
    <n v="12311860"/>
    <m/>
    <s v="2024-02-25T07:48:00"/>
    <s v="2024-02-25T07:48:00"/>
    <s v="system@alrashdeng.ae"/>
    <n v="1"/>
    <b v="1"/>
    <m/>
    <n v="0"/>
    <m/>
    <x v="0"/>
    <x v="0"/>
  </r>
  <r>
    <s v="PH-PRJ-030-10"/>
    <x v="29"/>
    <x v="9"/>
    <d v="2024-03-27T00:00:00"/>
    <d v="2024-04-17T00:00:00"/>
    <d v="2024-03-27T00:00:00"/>
    <d v="2024-04-17T00:00:00"/>
    <s v="Completed"/>
    <n v="100"/>
    <n v="8207907"/>
    <m/>
    <s v="2024-03-27T11:12:00"/>
    <s v="2024-03-27T11:12:00"/>
    <s v="system@alrashdeng.ae"/>
    <n v="1"/>
    <b v="1"/>
    <m/>
    <n v="0"/>
    <m/>
    <x v="0"/>
    <x v="0"/>
  </r>
  <r>
    <s v="PH-PRJ-031-01"/>
    <x v="30"/>
    <x v="0"/>
    <d v="2022-07-08T00:00:00"/>
    <d v="2022-08-31T00:00:00"/>
    <d v="2022-07-08T00:00:00"/>
    <d v="2022-08-31T00:00:00"/>
    <s v="Completed"/>
    <n v="100"/>
    <n v="1340766"/>
    <m/>
    <s v="2022-07-08T15:12:00"/>
    <s v="2022-07-08T15:12:00"/>
    <s v="system@alrashdeng.ae"/>
    <n v="1"/>
    <b v="1"/>
    <m/>
    <n v="0"/>
    <m/>
    <x v="0"/>
    <x v="0"/>
  </r>
  <r>
    <s v="PH-PRJ-031-02"/>
    <x v="30"/>
    <x v="1"/>
    <d v="2022-08-31T00:00:00"/>
    <d v="2022-12-17T00:00:00"/>
    <d v="2022-08-31T00:00:00"/>
    <d v="2022-12-17T00:00:00"/>
    <s v="Completed"/>
    <n v="100"/>
    <n v="2681533"/>
    <m/>
    <s v="2022-08-31T17:59:00"/>
    <s v="2022-08-31T17:59:00"/>
    <s v="system@alrashdeng.ae"/>
    <n v="1"/>
    <b v="1"/>
    <m/>
    <n v="0"/>
    <m/>
    <x v="0"/>
    <x v="0"/>
  </r>
  <r>
    <s v="PH-PRJ-031-03"/>
    <x v="30"/>
    <x v="2"/>
    <d v="2022-12-17T00:00:00"/>
    <d v="2023-04-25T00:00:00"/>
    <d v="2022-12-17T00:00:00"/>
    <d v="2023-04-25T00:00:00"/>
    <s v="Completed"/>
    <n v="100"/>
    <n v="3217840"/>
    <m/>
    <s v="2022-12-17T07:15:00"/>
    <s v="2022-12-17T07:15:00"/>
    <s v="system@alrashdeng.ae"/>
    <n v="1"/>
    <b v="1"/>
    <s v="Critical Phase"/>
    <n v="0"/>
    <m/>
    <x v="0"/>
    <x v="0"/>
  </r>
  <r>
    <s v="PH-PRJ-031-04"/>
    <x v="30"/>
    <x v="3"/>
    <d v="2023-04-25T00:00:00"/>
    <d v="2023-10-04T00:00:00"/>
    <d v="2023-04-25T00:00:00"/>
    <d v="2023-10-04T00:00:00"/>
    <s v="Completed"/>
    <n v="100"/>
    <n v="4022300"/>
    <m/>
    <s v="2023-04-25T11:05:00"/>
    <s v="2023-04-25T11:05:00"/>
    <s v="system@alrashdeng.ae"/>
    <n v="1"/>
    <b v="1"/>
    <m/>
    <n v="0"/>
    <m/>
    <x v="0"/>
    <x v="0"/>
  </r>
  <r>
    <s v="PH-PRJ-031-05"/>
    <x v="30"/>
    <x v="4"/>
    <d v="2023-10-04T00:00:00"/>
    <d v="2024-06-30T00:00:00"/>
    <d v="2023-10-04T00:00:00"/>
    <d v="2024-06-30T00:00:00"/>
    <s v="Completed"/>
    <n v="100"/>
    <n v="6703834"/>
    <m/>
    <s v="2023-10-04T16:36:00"/>
    <s v="2023-10-04T16:36:00"/>
    <s v="system@alrashdeng.ae"/>
    <n v="1"/>
    <b v="1"/>
    <s v="Critical Phase"/>
    <n v="0"/>
    <m/>
    <x v="0"/>
    <x v="0"/>
  </r>
  <r>
    <s v="PH-PRJ-031-06"/>
    <x v="30"/>
    <x v="5"/>
    <d v="2024-06-30T00:00:00"/>
    <d v="2024-10-16T00:00:00"/>
    <d v="2024-06-30T00:00:00"/>
    <d v="2024-10-16T00:00:00"/>
    <s v="Completed"/>
    <n v="100"/>
    <n v="2681533"/>
    <m/>
    <s v="2024-06-30T07:36:00"/>
    <s v="2024-06-30T07:36:00"/>
    <s v="system@alrashdeng.ae"/>
    <n v="1"/>
    <b v="1"/>
    <m/>
    <n v="0"/>
    <m/>
    <x v="0"/>
    <x v="0"/>
  </r>
  <r>
    <s v="PH-PRJ-031-07"/>
    <x v="30"/>
    <x v="6"/>
    <d v="2024-10-16T00:00:00"/>
    <d v="2025-01-10T00:00:00"/>
    <d v="2024-10-16T00:00:00"/>
    <d v="2025-01-10T00:00:00"/>
    <s v="Completed"/>
    <n v="100"/>
    <n v="2145226"/>
    <m/>
    <s v="2024-10-16T14:02:00"/>
    <s v="2024-10-16T14:02:00"/>
    <s v="system@alrashdeng.ae"/>
    <n v="1"/>
    <b v="1"/>
    <m/>
    <n v="0"/>
    <m/>
    <x v="0"/>
    <x v="0"/>
  </r>
  <r>
    <s v="PH-PRJ-031-08"/>
    <x v="30"/>
    <x v="7"/>
    <d v="2025-01-10T00:00:00"/>
    <d v="2025-04-28T00:00:00"/>
    <d v="2025-01-10T00:00:00"/>
    <d v="2025-04-28T00:00:00"/>
    <s v="Completed"/>
    <n v="100"/>
    <n v="2681533"/>
    <m/>
    <s v="2025-01-10T07:20:00"/>
    <s v="2025-01-10T07:20:00"/>
    <s v="system@alrashdeng.ae"/>
    <n v="1"/>
    <b v="1"/>
    <m/>
    <n v="0"/>
    <m/>
    <x v="0"/>
    <x v="0"/>
  </r>
  <r>
    <s v="PH-PRJ-031-09"/>
    <x v="30"/>
    <x v="8"/>
    <d v="2025-04-28T00:00:00"/>
    <d v="2025-05-30T00:00:00"/>
    <d v="2025-04-28T00:00:00"/>
    <d v="2025-05-30T00:00:00"/>
    <s v="Completed"/>
    <n v="100"/>
    <n v="804460"/>
    <m/>
    <s v="2025-04-28T08:19:00"/>
    <s v="2025-04-28T08:19:00"/>
    <s v="system@alrashdeng.ae"/>
    <n v="1"/>
    <b v="1"/>
    <m/>
    <n v="0"/>
    <m/>
    <x v="0"/>
    <x v="0"/>
  </r>
  <r>
    <s v="PH-PRJ-031-10"/>
    <x v="30"/>
    <x v="9"/>
    <d v="2025-05-30T00:00:00"/>
    <d v="2025-06-20T00:00:00"/>
    <d v="2025-05-30T00:00:00"/>
    <d v="2025-06-20T00:00:00"/>
    <s v="Completed"/>
    <n v="100"/>
    <n v="536306"/>
    <m/>
    <s v="2025-05-30T07:22:00"/>
    <s v="2025-05-30T07:22:00"/>
    <s v="system@alrashdeng.ae"/>
    <n v="1"/>
    <b v="1"/>
    <m/>
    <n v="0"/>
    <m/>
    <x v="0"/>
    <x v="0"/>
  </r>
  <r>
    <s v="PH-PRJ-032-01"/>
    <x v="31"/>
    <x v="0"/>
    <d v="2021-03-23T00:00:00"/>
    <d v="2021-05-10T00:00:00"/>
    <d v="2021-03-23T00:00:00"/>
    <d v="2021-05-10T00:00:00"/>
    <s v="Completed"/>
    <n v="100"/>
    <n v="16272384"/>
    <m/>
    <s v="2021-03-23T11:25:00"/>
    <s v="2021-03-23T11:25:00"/>
    <s v="system@alrashdeng.ae"/>
    <n v="1"/>
    <b v="1"/>
    <m/>
    <n v="0"/>
    <m/>
    <x v="0"/>
    <x v="0"/>
  </r>
  <r>
    <s v="PH-PRJ-032-02"/>
    <x v="31"/>
    <x v="1"/>
    <d v="2021-05-10T00:00:00"/>
    <d v="2021-08-14T00:00:00"/>
    <d v="2021-05-10T00:00:00"/>
    <d v="2021-08-14T00:00:00"/>
    <s v="Completed"/>
    <n v="100"/>
    <n v="32544769"/>
    <m/>
    <s v="2021-05-10T15:12:00"/>
    <s v="2021-05-10T15:12:00"/>
    <s v="system@alrashdeng.ae"/>
    <n v="1"/>
    <b v="1"/>
    <m/>
    <n v="0"/>
    <m/>
    <x v="0"/>
    <x v="0"/>
  </r>
  <r>
    <s v="PH-PRJ-032-03"/>
    <x v="31"/>
    <x v="2"/>
    <d v="2021-08-14T00:00:00"/>
    <d v="2021-12-07T00:00:00"/>
    <d v="2021-08-14T00:00:00"/>
    <d v="2021-12-07T00:00:00"/>
    <s v="Completed"/>
    <n v="100"/>
    <n v="39053722"/>
    <m/>
    <s v="2021-08-14T12:48:00"/>
    <s v="2021-08-14T12:48:00"/>
    <s v="system@alrashdeng.ae"/>
    <n v="1"/>
    <b v="1"/>
    <s v="Critical Phase"/>
    <n v="0"/>
    <m/>
    <x v="0"/>
    <x v="0"/>
  </r>
  <r>
    <s v="PH-PRJ-032-04"/>
    <x v="31"/>
    <x v="3"/>
    <d v="2021-12-07T00:00:00"/>
    <d v="2022-04-30T00:00:00"/>
    <d v="2021-12-07T00:00:00"/>
    <d v="2022-04-30T00:00:00"/>
    <s v="Completed"/>
    <n v="100"/>
    <n v="48817153"/>
    <m/>
    <s v="2021-12-07T13:46:00"/>
    <s v="2021-12-07T13:46:00"/>
    <s v="system@alrashdeng.ae"/>
    <n v="1"/>
    <b v="1"/>
    <m/>
    <n v="0"/>
    <m/>
    <x v="0"/>
    <x v="0"/>
  </r>
  <r>
    <s v="PH-PRJ-032-05"/>
    <x v="31"/>
    <x v="4"/>
    <d v="2022-04-30T00:00:00"/>
    <d v="2022-12-26T00:00:00"/>
    <d v="2022-04-30T00:00:00"/>
    <d v="2022-12-26T00:00:00"/>
    <s v="Completed"/>
    <n v="100"/>
    <n v="81361922"/>
    <m/>
    <s v="2022-04-30T12:08:00"/>
    <s v="2022-04-30T12:08:00"/>
    <s v="system@alrashdeng.ae"/>
    <n v="1"/>
    <b v="1"/>
    <s v="Critical Phase"/>
    <n v="0"/>
    <m/>
    <x v="0"/>
    <x v="0"/>
  </r>
  <r>
    <s v="PH-PRJ-032-06"/>
    <x v="31"/>
    <x v="5"/>
    <d v="2022-12-26T00:00:00"/>
    <d v="2023-04-01T00:00:00"/>
    <d v="2022-12-26T00:00:00"/>
    <d v="2023-04-01T00:00:00"/>
    <s v="Completed"/>
    <n v="100"/>
    <n v="32544769"/>
    <m/>
    <s v="2022-12-26T17:06:00"/>
    <s v="2022-12-26T17:06:00"/>
    <s v="system@alrashdeng.ae"/>
    <n v="1"/>
    <b v="1"/>
    <m/>
    <n v="0"/>
    <m/>
    <x v="0"/>
    <x v="0"/>
  </r>
  <r>
    <s v="PH-PRJ-032-07"/>
    <x v="31"/>
    <x v="6"/>
    <d v="2023-04-01T00:00:00"/>
    <d v="2023-06-16T00:00:00"/>
    <d v="2023-04-01T00:00:00"/>
    <d v="2023-06-16T00:00:00"/>
    <s v="Completed"/>
    <n v="100"/>
    <n v="26035815"/>
    <m/>
    <s v="2023-04-01T12:26:00"/>
    <s v="2023-04-01T12:26:00"/>
    <s v="system@alrashdeng.ae"/>
    <n v="1"/>
    <b v="1"/>
    <m/>
    <n v="0"/>
    <m/>
    <x v="0"/>
    <x v="0"/>
  </r>
  <r>
    <s v="PH-PRJ-032-08"/>
    <x v="31"/>
    <x v="7"/>
    <d v="2023-06-16T00:00:00"/>
    <d v="2023-09-20T00:00:00"/>
    <d v="2023-06-16T00:00:00"/>
    <d v="2023-09-20T00:00:00"/>
    <s v="Completed"/>
    <n v="100"/>
    <n v="32544769"/>
    <m/>
    <s v="2023-06-16T15:06:00"/>
    <s v="2023-06-16T15:06:00"/>
    <s v="system@alrashdeng.ae"/>
    <n v="1"/>
    <b v="1"/>
    <m/>
    <n v="0"/>
    <m/>
    <x v="0"/>
    <x v="0"/>
  </r>
  <r>
    <s v="PH-PRJ-032-09"/>
    <x v="31"/>
    <x v="8"/>
    <d v="2023-09-20T00:00:00"/>
    <d v="2023-10-18T00:00:00"/>
    <d v="2023-09-20T00:00:00"/>
    <d v="2023-10-18T00:00:00"/>
    <s v="Completed"/>
    <n v="100"/>
    <n v="9763430"/>
    <m/>
    <s v="2023-09-20T15:51:00"/>
    <s v="2023-09-20T15:51:00"/>
    <s v="system@alrashdeng.ae"/>
    <n v="1"/>
    <b v="1"/>
    <m/>
    <n v="0"/>
    <m/>
    <x v="0"/>
    <x v="0"/>
  </r>
  <r>
    <s v="PH-PRJ-032-10"/>
    <x v="31"/>
    <x v="9"/>
    <d v="2023-10-18T00:00:00"/>
    <d v="2023-11-06T00:00:00"/>
    <d v="2023-10-18T00:00:00"/>
    <d v="2023-11-06T00:00:00"/>
    <s v="Completed"/>
    <n v="100"/>
    <n v="6508953"/>
    <m/>
    <s v="2023-10-18T09:01:00"/>
    <s v="2023-10-18T09:01:00"/>
    <s v="system@alrashdeng.ae"/>
    <n v="1"/>
    <b v="1"/>
    <m/>
    <n v="0"/>
    <m/>
    <x v="0"/>
    <x v="0"/>
  </r>
  <r>
    <s v="PH-PRJ-033-01"/>
    <x v="32"/>
    <x v="0"/>
    <d v="2021-06-15T00:00:00"/>
    <d v="2021-07-19T00:00:00"/>
    <d v="2021-06-15T00:00:00"/>
    <d v="2021-07-19T00:00:00"/>
    <s v="Completed"/>
    <n v="100"/>
    <n v="14224918"/>
    <m/>
    <s v="2021-06-15T16:50:00"/>
    <s v="2021-06-15T16:50:00"/>
    <s v="system@alrashdeng.ae"/>
    <n v="1"/>
    <b v="1"/>
    <m/>
    <n v="0"/>
    <m/>
    <x v="0"/>
    <x v="0"/>
  </r>
  <r>
    <s v="PH-PRJ-033-02"/>
    <x v="32"/>
    <x v="1"/>
    <d v="2021-07-19T00:00:00"/>
    <d v="2021-09-26T00:00:00"/>
    <d v="2021-07-19T00:00:00"/>
    <d v="2021-09-26T00:00:00"/>
    <s v="Completed"/>
    <n v="100"/>
    <n v="28449837"/>
    <m/>
    <s v="2021-07-19T13:30:00"/>
    <s v="2021-07-19T13:30:00"/>
    <s v="system@alrashdeng.ae"/>
    <n v="1"/>
    <b v="1"/>
    <m/>
    <n v="0"/>
    <m/>
    <x v="0"/>
    <x v="0"/>
  </r>
  <r>
    <s v="PH-PRJ-033-03"/>
    <x v="32"/>
    <x v="2"/>
    <d v="2021-09-26T00:00:00"/>
    <d v="2021-12-17T00:00:00"/>
    <d v="2021-09-26T00:00:00"/>
    <d v="2021-12-17T00:00:00"/>
    <s v="Completed"/>
    <n v="100"/>
    <n v="34139804"/>
    <m/>
    <s v="2021-09-26T16:55:00"/>
    <s v="2021-09-26T16:55:00"/>
    <s v="system@alrashdeng.ae"/>
    <n v="1"/>
    <b v="1"/>
    <s v="Critical Phase"/>
    <n v="0"/>
    <m/>
    <x v="0"/>
    <x v="0"/>
  </r>
  <r>
    <s v="PH-PRJ-033-04"/>
    <x v="32"/>
    <x v="3"/>
    <d v="2021-12-17T00:00:00"/>
    <d v="2022-03-30T00:00:00"/>
    <d v="2021-12-17T00:00:00"/>
    <d v="2022-03-30T00:00:00"/>
    <s v="Completed"/>
    <n v="100"/>
    <n v="42674755"/>
    <m/>
    <s v="2021-12-17T07:18:00"/>
    <s v="2021-12-17T07:18:00"/>
    <s v="system@alrashdeng.ae"/>
    <n v="1"/>
    <b v="1"/>
    <m/>
    <n v="0"/>
    <m/>
    <x v="0"/>
    <x v="0"/>
  </r>
  <r>
    <s v="PH-PRJ-033-05"/>
    <x v="32"/>
    <x v="4"/>
    <d v="2022-03-30T00:00:00"/>
    <d v="2022-09-18T00:00:00"/>
    <d v="2022-03-30T00:00:00"/>
    <d v="2022-09-18T00:00:00"/>
    <s v="Completed"/>
    <n v="100"/>
    <n v="71124593"/>
    <m/>
    <s v="2022-03-30T09:09:00"/>
    <s v="2022-03-30T09:09:00"/>
    <s v="system@alrashdeng.ae"/>
    <n v="1"/>
    <b v="1"/>
    <s v="Critical Phase"/>
    <n v="0"/>
    <m/>
    <x v="0"/>
    <x v="0"/>
  </r>
  <r>
    <s v="PH-PRJ-033-06"/>
    <x v="32"/>
    <x v="5"/>
    <d v="2022-09-18T00:00:00"/>
    <d v="2022-11-26T00:00:00"/>
    <d v="2022-09-18T00:00:00"/>
    <d v="2022-11-26T00:00:00"/>
    <s v="Completed"/>
    <n v="100"/>
    <n v="28449837"/>
    <m/>
    <s v="2022-09-18T17:29:00"/>
    <s v="2022-09-18T17:29:00"/>
    <s v="system@alrashdeng.ae"/>
    <n v="1"/>
    <b v="1"/>
    <m/>
    <n v="0"/>
    <m/>
    <x v="0"/>
    <x v="0"/>
  </r>
  <r>
    <s v="PH-PRJ-033-07"/>
    <x v="32"/>
    <x v="6"/>
    <d v="2022-11-26T00:00:00"/>
    <d v="2023-01-20T00:00:00"/>
    <d v="2022-11-26T00:00:00"/>
    <d v="2023-01-20T00:00:00"/>
    <s v="Completed"/>
    <n v="100"/>
    <n v="22759869"/>
    <m/>
    <s v="2022-11-26T08:56:00"/>
    <s v="2022-11-26T08:56:00"/>
    <s v="system@alrashdeng.ae"/>
    <n v="1"/>
    <b v="1"/>
    <m/>
    <n v="0"/>
    <m/>
    <x v="0"/>
    <x v="0"/>
  </r>
  <r>
    <s v="PH-PRJ-033-08"/>
    <x v="32"/>
    <x v="7"/>
    <d v="2023-01-20T00:00:00"/>
    <d v="2023-03-30T00:00:00"/>
    <d v="2023-01-20T00:00:00"/>
    <d v="2023-03-30T00:00:00"/>
    <s v="Completed"/>
    <n v="100"/>
    <n v="28449837"/>
    <m/>
    <s v="2023-01-20T17:05:00"/>
    <s v="2023-01-20T17:05:00"/>
    <s v="system@alrashdeng.ae"/>
    <n v="1"/>
    <b v="1"/>
    <m/>
    <n v="0"/>
    <m/>
    <x v="0"/>
    <x v="0"/>
  </r>
  <r>
    <s v="PH-PRJ-033-09"/>
    <x v="32"/>
    <x v="8"/>
    <d v="2023-03-30T00:00:00"/>
    <d v="2023-04-19T00:00:00"/>
    <d v="2023-03-30T00:00:00"/>
    <d v="2023-04-19T00:00:00"/>
    <s v="Completed"/>
    <n v="100"/>
    <n v="8534951"/>
    <m/>
    <s v="2023-03-30T10:56:00"/>
    <s v="2023-03-30T10:56:00"/>
    <s v="system@alrashdeng.ae"/>
    <n v="1"/>
    <b v="1"/>
    <m/>
    <n v="0"/>
    <m/>
    <x v="0"/>
    <x v="0"/>
  </r>
  <r>
    <s v="PH-PRJ-033-10"/>
    <x v="32"/>
    <x v="9"/>
    <d v="2023-04-19T00:00:00"/>
    <d v="2023-05-02T00:00:00"/>
    <d v="2023-04-19T00:00:00"/>
    <d v="2023-05-02T00:00:00"/>
    <s v="Completed"/>
    <n v="100"/>
    <n v="5689967"/>
    <m/>
    <s v="2023-04-19T10:51:00"/>
    <s v="2023-04-19T10:51:00"/>
    <s v="system@alrashdeng.ae"/>
    <n v="1"/>
    <b v="1"/>
    <m/>
    <n v="0"/>
    <m/>
    <x v="0"/>
    <x v="0"/>
  </r>
  <r>
    <s v="PH-PRJ-034-01"/>
    <x v="33"/>
    <x v="0"/>
    <d v="2020-05-01T00:00:00"/>
    <d v="2020-06-15T00:00:00"/>
    <d v="2020-05-01T00:00:00"/>
    <d v="2020-06-15T00:00:00"/>
    <s v="Completed"/>
    <n v="100"/>
    <n v="6113845"/>
    <m/>
    <s v="2020-05-01T17:41:00"/>
    <s v="2020-05-01T17:41:00"/>
    <s v="system@alrashdeng.ae"/>
    <n v="1"/>
    <b v="1"/>
    <m/>
    <n v="0"/>
    <m/>
    <x v="0"/>
    <x v="0"/>
  </r>
  <r>
    <s v="PH-PRJ-034-02"/>
    <x v="33"/>
    <x v="1"/>
    <d v="2020-06-15T00:00:00"/>
    <d v="2020-09-13T00:00:00"/>
    <d v="2020-06-15T00:00:00"/>
    <d v="2020-09-13T00:00:00"/>
    <s v="Completed"/>
    <n v="100"/>
    <n v="12227691"/>
    <m/>
    <s v="2020-06-15T09:49:00"/>
    <s v="2020-06-15T09:49:00"/>
    <s v="system@alrashdeng.ae"/>
    <n v="1"/>
    <b v="1"/>
    <m/>
    <n v="0"/>
    <m/>
    <x v="0"/>
    <x v="0"/>
  </r>
  <r>
    <s v="PH-PRJ-034-03"/>
    <x v="33"/>
    <x v="2"/>
    <d v="2020-09-13T00:00:00"/>
    <d v="2020-12-30T00:00:00"/>
    <d v="2020-09-13T00:00:00"/>
    <d v="2020-12-30T00:00:00"/>
    <s v="Completed"/>
    <n v="100"/>
    <n v="14673229"/>
    <m/>
    <s v="2020-09-13T09:32:00"/>
    <s v="2020-09-13T09:32:00"/>
    <s v="system@alrashdeng.ae"/>
    <n v="1"/>
    <b v="1"/>
    <s v="Critical Phase"/>
    <n v="0"/>
    <m/>
    <x v="0"/>
    <x v="0"/>
  </r>
  <r>
    <s v="PH-PRJ-034-04"/>
    <x v="33"/>
    <x v="3"/>
    <d v="2020-12-30T00:00:00"/>
    <d v="2021-05-14T00:00:00"/>
    <d v="2020-12-30T00:00:00"/>
    <d v="2021-05-14T00:00:00"/>
    <s v="Completed"/>
    <n v="100"/>
    <n v="18341537"/>
    <m/>
    <s v="2020-12-30T15:46:00"/>
    <s v="2020-12-30T15:46:00"/>
    <s v="system@alrashdeng.ae"/>
    <n v="1"/>
    <b v="1"/>
    <m/>
    <n v="0"/>
    <m/>
    <x v="0"/>
    <x v="0"/>
  </r>
  <r>
    <s v="PH-PRJ-034-05"/>
    <x v="33"/>
    <x v="4"/>
    <d v="2021-05-14T00:00:00"/>
    <d v="2021-12-25T00:00:00"/>
    <d v="2021-05-14T00:00:00"/>
    <d v="2021-12-25T00:00:00"/>
    <s v="Completed"/>
    <n v="100"/>
    <n v="30569229"/>
    <m/>
    <s v="2021-05-14T16:41:00"/>
    <s v="2021-05-14T16:41:00"/>
    <s v="system@alrashdeng.ae"/>
    <n v="1"/>
    <b v="1"/>
    <s v="Critical Phase"/>
    <n v="0"/>
    <m/>
    <x v="0"/>
    <x v="0"/>
  </r>
  <r>
    <s v="PH-PRJ-034-06"/>
    <x v="33"/>
    <x v="5"/>
    <d v="2021-12-25T00:00:00"/>
    <d v="2022-03-25T00:00:00"/>
    <d v="2021-12-25T00:00:00"/>
    <d v="2022-03-25T00:00:00"/>
    <s v="Completed"/>
    <n v="100"/>
    <n v="12227691"/>
    <m/>
    <s v="2021-12-25T15:59:00"/>
    <s v="2021-12-25T15:59:00"/>
    <s v="system@alrashdeng.ae"/>
    <n v="1"/>
    <b v="1"/>
    <m/>
    <n v="0"/>
    <m/>
    <x v="0"/>
    <x v="0"/>
  </r>
  <r>
    <s v="PH-PRJ-034-07"/>
    <x v="33"/>
    <x v="6"/>
    <d v="2022-03-25T00:00:00"/>
    <d v="2022-06-05T00:00:00"/>
    <d v="2022-03-25T00:00:00"/>
    <d v="2022-06-05T00:00:00"/>
    <s v="Completed"/>
    <n v="100"/>
    <n v="9782153"/>
    <m/>
    <s v="2022-03-25T12:28:00"/>
    <s v="2022-03-25T12:28:00"/>
    <s v="system@alrashdeng.ae"/>
    <n v="1"/>
    <b v="1"/>
    <m/>
    <n v="0"/>
    <m/>
    <x v="0"/>
    <x v="0"/>
  </r>
  <r>
    <s v="PH-PRJ-034-08"/>
    <x v="33"/>
    <x v="7"/>
    <d v="2022-06-05T00:00:00"/>
    <d v="2022-09-03T00:00:00"/>
    <d v="2022-06-05T00:00:00"/>
    <d v="2022-09-03T00:00:00"/>
    <s v="Completed"/>
    <n v="100"/>
    <n v="12227691"/>
    <m/>
    <s v="2022-06-05T09:21:00"/>
    <s v="2022-06-05T09:21:00"/>
    <s v="system@alrashdeng.ae"/>
    <n v="1"/>
    <b v="1"/>
    <m/>
    <n v="0"/>
    <m/>
    <x v="0"/>
    <x v="0"/>
  </r>
  <r>
    <s v="PH-PRJ-034-09"/>
    <x v="33"/>
    <x v="8"/>
    <d v="2022-09-03T00:00:00"/>
    <d v="2022-09-30T00:00:00"/>
    <d v="2022-09-03T00:00:00"/>
    <d v="2022-09-30T00:00:00"/>
    <s v="Completed"/>
    <n v="100"/>
    <n v="3668307"/>
    <m/>
    <s v="2022-09-03T11:23:00"/>
    <s v="2022-09-03T11:23:00"/>
    <s v="system@alrashdeng.ae"/>
    <n v="1"/>
    <b v="1"/>
    <m/>
    <n v="0"/>
    <m/>
    <x v="0"/>
    <x v="0"/>
  </r>
  <r>
    <s v="PH-PRJ-034-10"/>
    <x v="33"/>
    <x v="9"/>
    <d v="2022-09-30T00:00:00"/>
    <d v="2022-10-18T00:00:00"/>
    <d v="2022-09-30T00:00:00"/>
    <d v="2022-10-18T00:00:00"/>
    <s v="Completed"/>
    <n v="100"/>
    <n v="2445538"/>
    <m/>
    <s v="2022-09-30T16:54:00"/>
    <s v="2022-09-30T16:54:00"/>
    <s v="system@alrashdeng.ae"/>
    <n v="1"/>
    <b v="1"/>
    <m/>
    <n v="0"/>
    <m/>
    <x v="0"/>
    <x v="0"/>
  </r>
  <r>
    <s v="PH-PRJ-035-01"/>
    <x v="34"/>
    <x v="0"/>
    <d v="2024-01-27T00:00:00"/>
    <d v="2024-03-07T00:00:00"/>
    <d v="2024-01-27T00:00:00"/>
    <d v="2024-03-07T00:00:00"/>
    <s v="Completed"/>
    <n v="100"/>
    <n v="1320446"/>
    <m/>
    <s v="2024-01-27T13:02:00"/>
    <s v="2024-01-27T13:02:00"/>
    <s v="system@alrashdeng.ae"/>
    <n v="1"/>
    <b v="1"/>
    <m/>
    <n v="0"/>
    <m/>
    <x v="0"/>
    <x v="0"/>
  </r>
  <r>
    <s v="PH-PRJ-035-02"/>
    <x v="34"/>
    <x v="1"/>
    <d v="2024-03-07T00:00:00"/>
    <d v="2024-05-27T00:00:00"/>
    <d v="2024-03-07T00:00:00"/>
    <d v="2024-05-27T00:00:00"/>
    <s v="Completed"/>
    <n v="100"/>
    <n v="2640893"/>
    <m/>
    <s v="2024-03-07T17:24:00"/>
    <s v="2024-03-07T17:24:00"/>
    <s v="system@alrashdeng.ae"/>
    <n v="1"/>
    <b v="1"/>
    <m/>
    <n v="0"/>
    <m/>
    <x v="0"/>
    <x v="0"/>
  </r>
  <r>
    <s v="PH-PRJ-035-03"/>
    <x v="34"/>
    <x v="2"/>
    <d v="2024-05-27T00:00:00"/>
    <d v="2024-09-01T00:00:00"/>
    <d v="2024-05-27T00:00:00"/>
    <d v="2024-09-01T00:00:00"/>
    <s v="Completed"/>
    <n v="100"/>
    <n v="3169072"/>
    <m/>
    <s v="2024-05-27T10:13:00"/>
    <s v="2024-05-27T10:13:00"/>
    <s v="system@alrashdeng.ae"/>
    <n v="1"/>
    <b v="1"/>
    <s v="Critical Phase"/>
    <n v="0"/>
    <m/>
    <x v="0"/>
    <x v="0"/>
  </r>
  <r>
    <s v="PH-PRJ-035-04"/>
    <x v="34"/>
    <x v="3"/>
    <d v="2024-09-01T00:00:00"/>
    <d v="2024-12-31T00:00:00"/>
    <d v="2024-09-01T00:00:00"/>
    <d v="2024-12-31T00:00:00"/>
    <s v="Completed"/>
    <n v="100"/>
    <n v="3961340"/>
    <m/>
    <s v="2024-09-01T16:38:00"/>
    <s v="2024-09-01T16:38:00"/>
    <s v="system@alrashdeng.ae"/>
    <n v="1"/>
    <b v="1"/>
    <m/>
    <n v="0"/>
    <m/>
    <x v="0"/>
    <x v="0"/>
  </r>
  <r>
    <s v="PH-PRJ-035-05"/>
    <x v="34"/>
    <x v="4"/>
    <d v="2024-12-31T00:00:00"/>
    <d v="2025-07-21T00:00:00"/>
    <d v="2024-12-31T00:00:00"/>
    <d v="2025-07-21T00:00:00"/>
    <s v="Completed"/>
    <n v="100"/>
    <n v="6602233"/>
    <m/>
    <s v="2024-12-31T08:09:00"/>
    <s v="2024-12-31T08:09:00"/>
    <s v="system@alrashdeng.ae"/>
    <n v="1"/>
    <b v="1"/>
    <s v="Critical Phase"/>
    <n v="0"/>
    <m/>
    <x v="0"/>
    <x v="0"/>
  </r>
  <r>
    <s v="PH-PRJ-035-06"/>
    <x v="34"/>
    <x v="5"/>
    <d v="2025-07-21T00:00:00"/>
    <d v="2025-10-10T00:00:00"/>
    <d v="2025-07-21T00:00:00"/>
    <d v="2025-10-10T00:00:00"/>
    <s v="Completed"/>
    <n v="100"/>
    <n v="2640893"/>
    <m/>
    <s v="2025-07-21T16:40:00"/>
    <s v="2025-07-21T16:40:00"/>
    <s v="system@alrashdeng.ae"/>
    <n v="1"/>
    <b v="1"/>
    <m/>
    <n v="0"/>
    <m/>
    <x v="0"/>
    <x v="0"/>
  </r>
  <r>
    <s v="PH-PRJ-035-07"/>
    <x v="34"/>
    <x v="6"/>
    <d v="2025-10-10T00:00:00"/>
    <d v="2025-12-13T00:00:00"/>
    <d v="2025-10-10T00:00:00"/>
    <d v="2025-12-13T00:00:00"/>
    <s v="Completed"/>
    <n v="100"/>
    <n v="2112714"/>
    <m/>
    <s v="2025-10-10T14:06:00"/>
    <s v="2025-10-10T14:06:00"/>
    <s v="system@alrashdeng.ae"/>
    <n v="1"/>
    <b v="1"/>
    <m/>
    <n v="0"/>
    <m/>
    <x v="0"/>
    <x v="0"/>
  </r>
  <r>
    <s v="PH-PRJ-035-08"/>
    <x v="34"/>
    <x v="7"/>
    <d v="2025-12-13T00:00:00"/>
    <d v="2026-03-04T00:00:00"/>
    <d v="2025-12-13T00:00:00"/>
    <m/>
    <s v="In Progress"/>
    <n v="21"/>
    <n v="2640893"/>
    <m/>
    <s v="2025-12-13T09:49:00"/>
    <s v="2025-12-13T09:49:00"/>
    <s v="system@alrashdeng.ae"/>
    <n v="1"/>
    <b v="1"/>
    <m/>
    <m/>
    <n v="209"/>
    <x v="1"/>
    <x v="15"/>
  </r>
  <r>
    <s v="PH-PRJ-035-09"/>
    <x v="34"/>
    <x v="8"/>
    <d v="2026-03-04T00:00:00"/>
    <d v="2026-03-28T00:00:00"/>
    <m/>
    <m/>
    <s v="Not Started"/>
    <n v="0"/>
    <n v="792268"/>
    <m/>
    <s v="2026-03-04T11:35:00"/>
    <s v="2026-03-04T11:35:00"/>
    <s v="system@alrashdeng.ae"/>
    <n v="1"/>
    <b v="1"/>
    <m/>
    <m/>
    <n v="185"/>
    <x v="1"/>
    <x v="16"/>
  </r>
  <r>
    <s v="PH-PRJ-035-10"/>
    <x v="34"/>
    <x v="9"/>
    <d v="2026-03-28T00:00:00"/>
    <d v="2026-04-13T00:00:00"/>
    <m/>
    <m/>
    <s v="Not Started"/>
    <n v="0"/>
    <n v="528178"/>
    <m/>
    <s v="2026-03-28T08:31:00"/>
    <s v="2026-03-28T08:31:00"/>
    <s v="system@alrashdeng.ae"/>
    <n v="1"/>
    <b v="1"/>
    <m/>
    <m/>
    <n v="169"/>
    <x v="1"/>
    <x v="17"/>
  </r>
  <r>
    <s v="PH-PRJ-036-01"/>
    <x v="35"/>
    <x v="0"/>
    <d v="2023-08-13T00:00:00"/>
    <d v="2023-09-03T00:00:00"/>
    <d v="2023-08-13T00:00:00"/>
    <d v="2023-09-03T00:00:00"/>
    <s v="Completed"/>
    <n v="100"/>
    <n v="8207338"/>
    <m/>
    <s v="2023-08-13T08:29:00"/>
    <s v="2023-08-13T08:29:00"/>
    <s v="system@alrashdeng.ae"/>
    <n v="1"/>
    <b v="1"/>
    <m/>
    <n v="0"/>
    <m/>
    <x v="0"/>
    <x v="0"/>
  </r>
  <r>
    <s v="PH-PRJ-036-02"/>
    <x v="35"/>
    <x v="1"/>
    <d v="2023-09-03T00:00:00"/>
    <d v="2023-10-15T00:00:00"/>
    <d v="2023-09-03T00:00:00"/>
    <d v="2023-10-15T00:00:00"/>
    <s v="Completed"/>
    <n v="100"/>
    <n v="16414677"/>
    <m/>
    <s v="2023-09-03T12:10:00"/>
    <s v="2023-09-03T12:10:00"/>
    <s v="system@alrashdeng.ae"/>
    <n v="1"/>
    <b v="1"/>
    <m/>
    <n v="0"/>
    <m/>
    <x v="0"/>
    <x v="0"/>
  </r>
  <r>
    <s v="PH-PRJ-036-03"/>
    <x v="35"/>
    <x v="2"/>
    <d v="2023-10-15T00:00:00"/>
    <d v="2023-12-04T00:00:00"/>
    <d v="2023-10-15T00:00:00"/>
    <d v="2023-12-04T00:00:00"/>
    <s v="Completed"/>
    <n v="100"/>
    <n v="19697612"/>
    <m/>
    <s v="2023-10-15T11:10:00"/>
    <s v="2023-10-15T11:10:00"/>
    <s v="system@alrashdeng.ae"/>
    <n v="1"/>
    <b v="1"/>
    <s v="Critical Phase"/>
    <n v="0"/>
    <m/>
    <x v="0"/>
    <x v="0"/>
  </r>
  <r>
    <s v="PH-PRJ-036-04"/>
    <x v="35"/>
    <x v="3"/>
    <d v="2023-12-04T00:00:00"/>
    <d v="2024-02-05T00:00:00"/>
    <d v="2023-12-04T00:00:00"/>
    <d v="2024-02-05T00:00:00"/>
    <s v="Completed"/>
    <n v="100"/>
    <n v="24622015"/>
    <m/>
    <s v="2023-12-04T08:17:00"/>
    <s v="2023-12-04T08:17:00"/>
    <s v="system@alrashdeng.ae"/>
    <n v="1"/>
    <b v="1"/>
    <m/>
    <n v="0"/>
    <m/>
    <x v="0"/>
    <x v="0"/>
  </r>
  <r>
    <s v="PH-PRJ-036-05"/>
    <x v="35"/>
    <x v="4"/>
    <d v="2024-02-05T00:00:00"/>
    <d v="2024-05-20T00:00:00"/>
    <d v="2024-02-05T00:00:00"/>
    <d v="2024-05-20T00:00:00"/>
    <s v="Completed"/>
    <n v="100"/>
    <n v="41036693"/>
    <m/>
    <s v="2024-02-05T16:23:00"/>
    <s v="2024-02-05T16:23:00"/>
    <s v="system@alrashdeng.ae"/>
    <n v="1"/>
    <b v="1"/>
    <s v="Critical Phase"/>
    <n v="0"/>
    <m/>
    <x v="0"/>
    <x v="0"/>
  </r>
  <r>
    <s v="PH-PRJ-036-06"/>
    <x v="35"/>
    <x v="5"/>
    <d v="2024-05-20T00:00:00"/>
    <d v="2024-07-01T00:00:00"/>
    <d v="2024-05-20T00:00:00"/>
    <d v="2024-07-01T00:00:00"/>
    <s v="Completed"/>
    <n v="100"/>
    <n v="16414677"/>
    <m/>
    <s v="2024-05-20T12:05:00"/>
    <s v="2024-05-20T12:05:00"/>
    <s v="system@alrashdeng.ae"/>
    <n v="1"/>
    <b v="1"/>
    <m/>
    <n v="0"/>
    <m/>
    <x v="0"/>
    <x v="0"/>
  </r>
  <r>
    <s v="PH-PRJ-036-07"/>
    <x v="35"/>
    <x v="6"/>
    <d v="2024-07-01T00:00:00"/>
    <d v="2024-08-03T00:00:00"/>
    <d v="2024-07-01T00:00:00"/>
    <d v="2024-08-03T00:00:00"/>
    <s v="Completed"/>
    <n v="100"/>
    <n v="13131741"/>
    <m/>
    <s v="2024-07-01T08:11:00"/>
    <s v="2024-07-01T08:11:00"/>
    <s v="system@alrashdeng.ae"/>
    <n v="1"/>
    <b v="1"/>
    <m/>
    <n v="0"/>
    <m/>
    <x v="0"/>
    <x v="0"/>
  </r>
  <r>
    <s v="PH-PRJ-036-08"/>
    <x v="35"/>
    <x v="7"/>
    <d v="2024-08-03T00:00:00"/>
    <d v="2024-09-14T00:00:00"/>
    <d v="2024-08-03T00:00:00"/>
    <d v="2024-09-14T00:00:00"/>
    <s v="Completed"/>
    <n v="100"/>
    <n v="16414677"/>
    <m/>
    <s v="2024-08-03T14:16:00"/>
    <s v="2024-08-03T14:16:00"/>
    <s v="system@alrashdeng.ae"/>
    <n v="1"/>
    <b v="1"/>
    <m/>
    <n v="0"/>
    <m/>
    <x v="0"/>
    <x v="0"/>
  </r>
  <r>
    <s v="PH-PRJ-036-09"/>
    <x v="35"/>
    <x v="8"/>
    <d v="2024-09-14T00:00:00"/>
    <d v="2024-09-26T00:00:00"/>
    <d v="2024-09-14T00:00:00"/>
    <d v="2024-09-26T00:00:00"/>
    <s v="Completed"/>
    <n v="100"/>
    <n v="4924403"/>
    <m/>
    <s v="2024-09-14T14:16:00"/>
    <s v="2024-09-14T14:16:00"/>
    <s v="system@alrashdeng.ae"/>
    <n v="1"/>
    <b v="1"/>
    <m/>
    <n v="0"/>
    <m/>
    <x v="0"/>
    <x v="0"/>
  </r>
  <r>
    <s v="PH-PRJ-036-10"/>
    <x v="35"/>
    <x v="9"/>
    <d v="2024-09-26T00:00:00"/>
    <d v="2024-10-04T00:00:00"/>
    <d v="2024-09-26T00:00:00"/>
    <d v="2024-10-04T00:00:00"/>
    <s v="Completed"/>
    <n v="100"/>
    <n v="3282935"/>
    <m/>
    <s v="2024-09-26T14:41:00"/>
    <s v="2024-09-26T14:41:00"/>
    <s v="system@alrashdeng.ae"/>
    <n v="1"/>
    <b v="1"/>
    <m/>
    <n v="0"/>
    <m/>
    <x v="0"/>
    <x v="0"/>
  </r>
  <r>
    <s v="PH-PRJ-037-01"/>
    <x v="36"/>
    <x v="0"/>
    <d v="2020-06-18T00:00:00"/>
    <d v="2020-07-25T00:00:00"/>
    <d v="2020-06-18T00:00:00"/>
    <d v="2020-07-25T00:00:00"/>
    <s v="Completed"/>
    <n v="100"/>
    <n v="23468347"/>
    <m/>
    <s v="2020-06-18T09:07:00"/>
    <s v="2020-06-18T09:07:00"/>
    <s v="system@alrashdeng.ae"/>
    <n v="1"/>
    <b v="1"/>
    <m/>
    <n v="0"/>
    <m/>
    <x v="0"/>
    <x v="0"/>
  </r>
  <r>
    <s v="PH-PRJ-037-02"/>
    <x v="36"/>
    <x v="1"/>
    <d v="2020-07-25T00:00:00"/>
    <d v="2020-10-08T00:00:00"/>
    <d v="2020-07-25T00:00:00"/>
    <d v="2020-10-08T00:00:00"/>
    <s v="Completed"/>
    <n v="100"/>
    <n v="46936695"/>
    <m/>
    <s v="2020-07-25T16:31:00"/>
    <s v="2020-07-25T16:31:00"/>
    <s v="system@alrashdeng.ae"/>
    <n v="1"/>
    <b v="1"/>
    <m/>
    <n v="0"/>
    <m/>
    <x v="0"/>
    <x v="0"/>
  </r>
  <r>
    <s v="PH-PRJ-037-03"/>
    <x v="36"/>
    <x v="2"/>
    <d v="2020-10-08T00:00:00"/>
    <d v="2021-01-06T00:00:00"/>
    <d v="2020-10-08T00:00:00"/>
    <d v="2021-01-06T00:00:00"/>
    <s v="Completed"/>
    <n v="100"/>
    <n v="56324034"/>
    <m/>
    <s v="2020-10-08T07:23:00"/>
    <s v="2020-10-08T07:23:00"/>
    <s v="system@alrashdeng.ae"/>
    <n v="1"/>
    <b v="1"/>
    <s v="Critical Phase"/>
    <n v="0"/>
    <m/>
    <x v="0"/>
    <x v="0"/>
  </r>
  <r>
    <s v="PH-PRJ-037-04"/>
    <x v="36"/>
    <x v="3"/>
    <d v="2021-01-06T00:00:00"/>
    <d v="2021-04-28T00:00:00"/>
    <d v="2021-01-06T00:00:00"/>
    <d v="2021-04-28T00:00:00"/>
    <s v="Completed"/>
    <n v="100"/>
    <n v="70405042"/>
    <m/>
    <s v="2021-01-06T11:25:00"/>
    <s v="2021-01-06T11:25:00"/>
    <s v="system@alrashdeng.ae"/>
    <n v="1"/>
    <b v="1"/>
    <m/>
    <n v="0"/>
    <m/>
    <x v="0"/>
    <x v="0"/>
  </r>
  <r>
    <s v="PH-PRJ-037-05"/>
    <x v="36"/>
    <x v="4"/>
    <d v="2021-04-28T00:00:00"/>
    <d v="2021-11-01T00:00:00"/>
    <d v="2021-04-28T00:00:00"/>
    <d v="2021-11-01T00:00:00"/>
    <s v="Completed"/>
    <n v="100"/>
    <n v="117341738"/>
    <m/>
    <s v="2021-04-28T13:54:00"/>
    <s v="2021-04-28T13:54:00"/>
    <s v="system@alrashdeng.ae"/>
    <n v="1"/>
    <b v="1"/>
    <s v="Critical Phase"/>
    <n v="0"/>
    <m/>
    <x v="0"/>
    <x v="0"/>
  </r>
  <r>
    <s v="PH-PRJ-037-06"/>
    <x v="36"/>
    <x v="5"/>
    <d v="2021-11-01T00:00:00"/>
    <d v="2022-01-15T00:00:00"/>
    <d v="2021-11-01T00:00:00"/>
    <d v="2022-01-15T00:00:00"/>
    <s v="Completed"/>
    <n v="100"/>
    <n v="46936695"/>
    <m/>
    <s v="2021-11-01T16:58:00"/>
    <s v="2021-11-01T16:58:00"/>
    <s v="system@alrashdeng.ae"/>
    <n v="1"/>
    <b v="1"/>
    <m/>
    <n v="0"/>
    <m/>
    <x v="0"/>
    <x v="0"/>
  </r>
  <r>
    <s v="PH-PRJ-037-07"/>
    <x v="36"/>
    <x v="6"/>
    <d v="2022-01-15T00:00:00"/>
    <d v="2022-03-16T00:00:00"/>
    <d v="2022-01-15T00:00:00"/>
    <d v="2022-03-16T00:00:00"/>
    <s v="Completed"/>
    <n v="100"/>
    <n v="37549356"/>
    <m/>
    <s v="2022-01-15T17:08:00"/>
    <s v="2022-01-15T17:08:00"/>
    <s v="system@alrashdeng.ae"/>
    <n v="1"/>
    <b v="1"/>
    <m/>
    <n v="0"/>
    <m/>
    <x v="0"/>
    <x v="0"/>
  </r>
  <r>
    <s v="PH-PRJ-037-08"/>
    <x v="36"/>
    <x v="7"/>
    <d v="2022-03-16T00:00:00"/>
    <d v="2022-05-30T00:00:00"/>
    <d v="2022-03-16T00:00:00"/>
    <d v="2022-05-30T00:00:00"/>
    <s v="Completed"/>
    <n v="100"/>
    <n v="46936695"/>
    <m/>
    <s v="2022-03-16T14:23:00"/>
    <s v="2022-03-16T14:23:00"/>
    <s v="system@alrashdeng.ae"/>
    <n v="1"/>
    <b v="1"/>
    <m/>
    <n v="0"/>
    <m/>
    <x v="0"/>
    <x v="0"/>
  </r>
  <r>
    <s v="PH-PRJ-037-09"/>
    <x v="36"/>
    <x v="8"/>
    <d v="2022-05-30T00:00:00"/>
    <d v="2022-06-21T00:00:00"/>
    <d v="2022-05-30T00:00:00"/>
    <d v="2022-06-21T00:00:00"/>
    <s v="Completed"/>
    <n v="100"/>
    <n v="14081008"/>
    <m/>
    <s v="2022-05-30T15:54:00"/>
    <s v="2022-05-30T15:54:00"/>
    <s v="system@alrashdeng.ae"/>
    <n v="1"/>
    <b v="1"/>
    <m/>
    <n v="0"/>
    <m/>
    <x v="0"/>
    <x v="0"/>
  </r>
  <r>
    <s v="PH-PRJ-037-10"/>
    <x v="36"/>
    <x v="9"/>
    <d v="2022-06-21T00:00:00"/>
    <d v="2022-07-06T00:00:00"/>
    <d v="2022-06-21T00:00:00"/>
    <d v="2022-07-06T00:00:00"/>
    <s v="Completed"/>
    <n v="100"/>
    <n v="9387339"/>
    <m/>
    <s v="2022-06-21T16:20:00"/>
    <s v="2022-06-21T16:20:00"/>
    <s v="system@alrashdeng.ae"/>
    <n v="1"/>
    <b v="1"/>
    <m/>
    <n v="0"/>
    <m/>
    <x v="0"/>
    <x v="0"/>
  </r>
  <r>
    <s v="PH-PRJ-038-01"/>
    <x v="37"/>
    <x v="0"/>
    <d v="2021-11-11T00:00:00"/>
    <d v="2021-12-06T00:00:00"/>
    <d v="2021-11-11T00:00:00"/>
    <d v="2021-12-06T00:00:00"/>
    <s v="Completed"/>
    <n v="100"/>
    <n v="2216236"/>
    <m/>
    <s v="2021-11-11T12:05:00"/>
    <s v="2021-11-11T12:05:00"/>
    <s v="system@alrashdeng.ae"/>
    <n v="1"/>
    <b v="1"/>
    <m/>
    <n v="0"/>
    <m/>
    <x v="0"/>
    <x v="0"/>
  </r>
  <r>
    <s v="PH-PRJ-038-02"/>
    <x v="37"/>
    <x v="1"/>
    <d v="2021-12-06T00:00:00"/>
    <d v="2022-01-26T00:00:00"/>
    <d v="2021-12-06T00:00:00"/>
    <d v="2022-01-26T00:00:00"/>
    <s v="Completed"/>
    <n v="100"/>
    <n v="4432473"/>
    <m/>
    <s v="2021-12-06T17:26:00"/>
    <s v="2021-12-06T17:26:00"/>
    <s v="system@alrashdeng.ae"/>
    <n v="1"/>
    <b v="1"/>
    <m/>
    <n v="0"/>
    <m/>
    <x v="0"/>
    <x v="0"/>
  </r>
  <r>
    <s v="PH-PRJ-038-03"/>
    <x v="37"/>
    <x v="2"/>
    <d v="2022-01-26T00:00:00"/>
    <d v="2022-03-28T00:00:00"/>
    <d v="2022-01-26T00:00:00"/>
    <d v="2022-03-28T00:00:00"/>
    <s v="Completed"/>
    <n v="100"/>
    <n v="5318968"/>
    <m/>
    <s v="2022-01-26T15:28:00"/>
    <s v="2022-01-26T15:28:00"/>
    <s v="system@alrashdeng.ae"/>
    <n v="1"/>
    <b v="1"/>
    <s v="Critical Phase"/>
    <n v="0"/>
    <m/>
    <x v="0"/>
    <x v="0"/>
  </r>
  <r>
    <s v="PH-PRJ-038-04"/>
    <x v="37"/>
    <x v="3"/>
    <d v="2022-03-28T00:00:00"/>
    <d v="2022-06-12T00:00:00"/>
    <d v="2022-03-28T00:00:00"/>
    <d v="2022-06-12T00:00:00"/>
    <s v="Completed"/>
    <n v="100"/>
    <n v="6648710"/>
    <m/>
    <s v="2022-03-28T11:56:00"/>
    <s v="2022-03-28T11:56:00"/>
    <s v="system@alrashdeng.ae"/>
    <n v="1"/>
    <b v="1"/>
    <m/>
    <n v="0"/>
    <m/>
    <x v="0"/>
    <x v="0"/>
  </r>
  <r>
    <s v="PH-PRJ-038-05"/>
    <x v="37"/>
    <x v="4"/>
    <d v="2022-06-12T00:00:00"/>
    <d v="2022-10-17T00:00:00"/>
    <d v="2022-06-12T00:00:00"/>
    <d v="2022-10-17T00:00:00"/>
    <s v="Completed"/>
    <n v="100"/>
    <n v="11081184"/>
    <m/>
    <s v="2022-06-12T17:02:00"/>
    <s v="2022-06-12T17:02:00"/>
    <s v="system@alrashdeng.ae"/>
    <n v="1"/>
    <b v="1"/>
    <s v="Critical Phase"/>
    <n v="0"/>
    <m/>
    <x v="0"/>
    <x v="0"/>
  </r>
  <r>
    <s v="PH-PRJ-038-06"/>
    <x v="37"/>
    <x v="5"/>
    <d v="2022-10-17T00:00:00"/>
    <d v="2022-12-07T00:00:00"/>
    <d v="2022-10-17T00:00:00"/>
    <d v="2022-12-07T00:00:00"/>
    <s v="Completed"/>
    <n v="100"/>
    <n v="4432473"/>
    <m/>
    <s v="2022-10-17T16:41:00"/>
    <s v="2022-10-17T16:41:00"/>
    <s v="system@alrashdeng.ae"/>
    <n v="1"/>
    <b v="1"/>
    <m/>
    <n v="0"/>
    <m/>
    <x v="0"/>
    <x v="0"/>
  </r>
  <r>
    <s v="PH-PRJ-038-07"/>
    <x v="37"/>
    <x v="6"/>
    <d v="2022-12-07T00:00:00"/>
    <d v="2023-01-16T00:00:00"/>
    <d v="2022-12-07T00:00:00"/>
    <d v="2023-01-16T00:00:00"/>
    <s v="Completed"/>
    <n v="100"/>
    <n v="3545978"/>
    <m/>
    <s v="2022-12-07T07:47:00"/>
    <s v="2022-12-07T07:47:00"/>
    <s v="system@alrashdeng.ae"/>
    <n v="1"/>
    <b v="1"/>
    <m/>
    <n v="0"/>
    <m/>
    <x v="0"/>
    <x v="0"/>
  </r>
  <r>
    <s v="PH-PRJ-038-08"/>
    <x v="37"/>
    <x v="7"/>
    <d v="2023-01-16T00:00:00"/>
    <d v="2023-03-08T00:00:00"/>
    <d v="2023-01-16T00:00:00"/>
    <d v="2023-03-08T00:00:00"/>
    <s v="Completed"/>
    <n v="100"/>
    <n v="4432473"/>
    <m/>
    <s v="2023-01-16T10:44:00"/>
    <s v="2023-01-16T10:44:00"/>
    <s v="system@alrashdeng.ae"/>
    <n v="1"/>
    <b v="1"/>
    <m/>
    <n v="0"/>
    <m/>
    <x v="0"/>
    <x v="0"/>
  </r>
  <r>
    <s v="PH-PRJ-038-09"/>
    <x v="37"/>
    <x v="8"/>
    <d v="2023-03-08T00:00:00"/>
    <d v="2023-03-23T00:00:00"/>
    <d v="2023-03-08T00:00:00"/>
    <d v="2023-03-23T00:00:00"/>
    <s v="Completed"/>
    <n v="100"/>
    <n v="1329742"/>
    <m/>
    <s v="2023-03-08T15:00:00"/>
    <s v="2023-03-08T15:00:00"/>
    <s v="system@alrashdeng.ae"/>
    <n v="1"/>
    <b v="1"/>
    <m/>
    <n v="0"/>
    <m/>
    <x v="0"/>
    <x v="0"/>
  </r>
  <r>
    <s v="PH-PRJ-038-10"/>
    <x v="37"/>
    <x v="9"/>
    <d v="2023-03-23T00:00:00"/>
    <d v="2023-04-02T00:00:00"/>
    <d v="2023-03-23T00:00:00"/>
    <d v="2023-04-02T00:00:00"/>
    <s v="Completed"/>
    <n v="100"/>
    <n v="886494"/>
    <m/>
    <s v="2023-03-23T09:54:00"/>
    <s v="2023-03-23T09:54:00"/>
    <s v="system@alrashdeng.ae"/>
    <n v="1"/>
    <b v="1"/>
    <m/>
    <n v="0"/>
    <m/>
    <x v="0"/>
    <x v="0"/>
  </r>
  <r>
    <s v="PH-PRJ-039-01"/>
    <x v="38"/>
    <x v="0"/>
    <d v="2022-12-06T00:00:00"/>
    <d v="2022-12-25T00:00:00"/>
    <d v="2022-12-06T00:00:00"/>
    <d v="2022-12-25T00:00:00"/>
    <s v="Completed"/>
    <n v="100"/>
    <n v="10705611"/>
    <m/>
    <s v="2022-12-06T08:18:00"/>
    <s v="2022-12-06T08:18:00"/>
    <s v="system@alrashdeng.ae"/>
    <n v="1"/>
    <b v="1"/>
    <m/>
    <n v="0"/>
    <m/>
    <x v="0"/>
    <x v="0"/>
  </r>
  <r>
    <s v="PH-PRJ-039-02"/>
    <x v="38"/>
    <x v="1"/>
    <d v="2022-12-25T00:00:00"/>
    <d v="2023-02-02T00:00:00"/>
    <d v="2022-12-25T00:00:00"/>
    <d v="2023-02-02T00:00:00"/>
    <s v="Completed"/>
    <n v="100"/>
    <n v="21411222"/>
    <m/>
    <s v="2022-12-25T13:10:00"/>
    <s v="2022-12-25T13:10:00"/>
    <s v="system@alrashdeng.ae"/>
    <n v="1"/>
    <b v="1"/>
    <m/>
    <n v="0"/>
    <m/>
    <x v="0"/>
    <x v="0"/>
  </r>
  <r>
    <s v="PH-PRJ-039-03"/>
    <x v="38"/>
    <x v="2"/>
    <d v="2023-02-02T00:00:00"/>
    <d v="2023-03-20T00:00:00"/>
    <d v="2023-02-02T00:00:00"/>
    <d v="2023-03-20T00:00:00"/>
    <s v="Completed"/>
    <n v="100"/>
    <n v="25693466"/>
    <m/>
    <s v="2023-02-02T16:25:00"/>
    <s v="2023-02-02T16:25:00"/>
    <s v="system@alrashdeng.ae"/>
    <n v="1"/>
    <b v="1"/>
    <s v="Critical Phase"/>
    <n v="0"/>
    <m/>
    <x v="0"/>
    <x v="0"/>
  </r>
  <r>
    <s v="PH-PRJ-039-04"/>
    <x v="38"/>
    <x v="3"/>
    <d v="2023-03-20T00:00:00"/>
    <d v="2023-05-17T00:00:00"/>
    <d v="2023-03-20T00:00:00"/>
    <d v="2023-05-17T00:00:00"/>
    <s v="Completed"/>
    <n v="100"/>
    <n v="32116833"/>
    <m/>
    <s v="2023-03-20T08:14:00"/>
    <s v="2023-03-20T08:14:00"/>
    <s v="system@alrashdeng.ae"/>
    <n v="1"/>
    <b v="1"/>
    <m/>
    <n v="0"/>
    <m/>
    <x v="0"/>
    <x v="0"/>
  </r>
  <r>
    <s v="PH-PRJ-039-05"/>
    <x v="38"/>
    <x v="4"/>
    <d v="2023-05-17T00:00:00"/>
    <d v="2023-08-22T00:00:00"/>
    <d v="2023-05-17T00:00:00"/>
    <d v="2023-08-22T00:00:00"/>
    <s v="Completed"/>
    <n v="100"/>
    <n v="53528055"/>
    <m/>
    <s v="2023-05-17T13:55:00"/>
    <s v="2023-05-17T13:55:00"/>
    <s v="system@alrashdeng.ae"/>
    <n v="1"/>
    <b v="1"/>
    <s v="Critical Phase"/>
    <n v="0"/>
    <m/>
    <x v="0"/>
    <x v="0"/>
  </r>
  <r>
    <s v="PH-PRJ-039-06"/>
    <x v="38"/>
    <x v="5"/>
    <d v="2023-08-22T00:00:00"/>
    <d v="2023-09-30T00:00:00"/>
    <d v="2023-08-22T00:00:00"/>
    <d v="2023-09-30T00:00:00"/>
    <s v="Completed"/>
    <n v="100"/>
    <n v="21411222"/>
    <m/>
    <s v="2023-08-22T14:42:00"/>
    <s v="2023-08-22T14:42:00"/>
    <s v="system@alrashdeng.ae"/>
    <n v="1"/>
    <b v="1"/>
    <m/>
    <n v="0"/>
    <m/>
    <x v="0"/>
    <x v="0"/>
  </r>
  <r>
    <s v="PH-PRJ-039-07"/>
    <x v="38"/>
    <x v="6"/>
    <d v="2023-09-30T00:00:00"/>
    <d v="2023-10-31T00:00:00"/>
    <d v="2023-09-30T00:00:00"/>
    <d v="2023-10-31T00:00:00"/>
    <s v="Completed"/>
    <n v="100"/>
    <n v="17128977"/>
    <m/>
    <s v="2023-09-30T08:22:00"/>
    <s v="2023-09-30T08:22:00"/>
    <s v="system@alrashdeng.ae"/>
    <n v="1"/>
    <b v="1"/>
    <m/>
    <n v="0"/>
    <m/>
    <x v="0"/>
    <x v="0"/>
  </r>
  <r>
    <s v="PH-PRJ-039-08"/>
    <x v="38"/>
    <x v="7"/>
    <d v="2023-10-31T00:00:00"/>
    <d v="2023-12-09T00:00:00"/>
    <d v="2023-10-31T00:00:00"/>
    <d v="2023-12-09T00:00:00"/>
    <s v="Completed"/>
    <n v="100"/>
    <n v="21411222"/>
    <m/>
    <s v="2023-10-31T14:29:00"/>
    <s v="2023-10-31T14:29:00"/>
    <s v="system@alrashdeng.ae"/>
    <n v="1"/>
    <b v="1"/>
    <m/>
    <n v="0"/>
    <m/>
    <x v="0"/>
    <x v="0"/>
  </r>
  <r>
    <s v="PH-PRJ-039-09"/>
    <x v="38"/>
    <x v="8"/>
    <d v="2023-12-09T00:00:00"/>
    <d v="2023-12-20T00:00:00"/>
    <d v="2023-12-09T00:00:00"/>
    <d v="2023-12-20T00:00:00"/>
    <s v="Completed"/>
    <n v="100"/>
    <n v="6423366"/>
    <m/>
    <s v="2023-12-09T17:34:00"/>
    <s v="2023-12-09T17:34:00"/>
    <s v="system@alrashdeng.ae"/>
    <n v="1"/>
    <b v="1"/>
    <m/>
    <n v="0"/>
    <m/>
    <x v="0"/>
    <x v="0"/>
  </r>
  <r>
    <s v="PH-PRJ-039-10"/>
    <x v="38"/>
    <x v="9"/>
    <d v="2023-12-20T00:00:00"/>
    <d v="2023-12-27T00:00:00"/>
    <d v="2023-12-20T00:00:00"/>
    <d v="2023-12-27T00:00:00"/>
    <s v="Completed"/>
    <n v="100"/>
    <n v="4282244"/>
    <m/>
    <s v="2023-12-20T14:06:00"/>
    <s v="2023-12-20T14:06:00"/>
    <s v="system@alrashdeng.ae"/>
    <n v="1"/>
    <b v="1"/>
    <m/>
    <n v="0"/>
    <m/>
    <x v="0"/>
    <x v="0"/>
  </r>
  <r>
    <s v="PH-PRJ-040-01"/>
    <x v="39"/>
    <x v="0"/>
    <d v="2025-04-04T00:00:00"/>
    <d v="2025-05-20T00:00:00"/>
    <d v="2025-04-04T00:00:00"/>
    <d v="2025-05-20T00:00:00"/>
    <s v="Completed"/>
    <n v="100"/>
    <n v="16532377"/>
    <m/>
    <s v="2025-04-04T08:11:00"/>
    <s v="2025-04-04T08:11:00"/>
    <s v="system@alrashdeng.ae"/>
    <n v="1"/>
    <b v="1"/>
    <m/>
    <n v="0"/>
    <m/>
    <x v="0"/>
    <x v="0"/>
  </r>
  <r>
    <s v="PH-PRJ-040-02"/>
    <x v="39"/>
    <x v="1"/>
    <d v="2025-05-20T00:00:00"/>
    <d v="2025-08-21T00:00:00"/>
    <d v="2025-05-20T00:00:00"/>
    <d v="2025-08-21T00:00:00"/>
    <s v="Completed"/>
    <n v="100"/>
    <n v="33064755"/>
    <m/>
    <s v="2025-05-20T08:58:00"/>
    <s v="2025-05-20T08:58:00"/>
    <s v="system@alrashdeng.ae"/>
    <n v="1"/>
    <b v="1"/>
    <m/>
    <n v="0"/>
    <m/>
    <x v="0"/>
    <x v="0"/>
  </r>
  <r>
    <s v="PH-PRJ-040-03"/>
    <x v="39"/>
    <x v="2"/>
    <d v="2025-08-21T00:00:00"/>
    <d v="2025-12-10T00:00:00"/>
    <d v="2025-08-21T00:00:00"/>
    <d v="2025-12-10T00:00:00"/>
    <s v="Completed"/>
    <n v="100"/>
    <n v="39677707"/>
    <m/>
    <s v="2025-08-21T13:49:00"/>
    <s v="2025-08-21T13:49:00"/>
    <s v="system@alrashdeng.ae"/>
    <n v="1"/>
    <b v="1"/>
    <s v="Critical Phase"/>
    <n v="0"/>
    <m/>
    <x v="0"/>
    <x v="0"/>
  </r>
  <r>
    <s v="PH-PRJ-040-04"/>
    <x v="39"/>
    <x v="3"/>
    <d v="2025-12-10T00:00:00"/>
    <d v="2026-04-28T00:00:00"/>
    <d v="2025-12-10T00:00:00"/>
    <m/>
    <s v="In Progress"/>
    <n v="75"/>
    <n v="49597133"/>
    <m/>
    <s v="2025-12-10T10:25:00"/>
    <s v="2025-12-10T10:25:00"/>
    <s v="system@alrashdeng.ae"/>
    <n v="1"/>
    <b v="1"/>
    <m/>
    <m/>
    <n v="154"/>
    <x v="1"/>
    <x v="18"/>
  </r>
  <r>
    <s v="PH-PRJ-040-05"/>
    <x v="39"/>
    <x v="4"/>
    <d v="2026-04-28T00:00:00"/>
    <d v="2026-12-16T00:00:00"/>
    <m/>
    <m/>
    <s v="Not Started"/>
    <n v="0"/>
    <n v="82661889"/>
    <m/>
    <s v="2026-04-28T12:04:00"/>
    <s v="2026-04-28T12:04:00"/>
    <s v="system@alrashdeng.ae"/>
    <n v="1"/>
    <b v="1"/>
    <s v="Critical Phase"/>
    <m/>
    <n v="-78"/>
    <x v="0"/>
    <x v="0"/>
  </r>
  <r>
    <s v="PH-PRJ-040-06"/>
    <x v="39"/>
    <x v="5"/>
    <d v="2026-12-16T00:00:00"/>
    <d v="2027-03-19T00:00:00"/>
    <m/>
    <m/>
    <s v="Not Started"/>
    <n v="0"/>
    <n v="33064755"/>
    <m/>
    <s v="2026-12-16T12:21:00"/>
    <s v="2026-12-16T12:21:00"/>
    <s v="system@alrashdeng.ae"/>
    <n v="1"/>
    <b v="1"/>
    <m/>
    <m/>
    <n v="-171"/>
    <x v="0"/>
    <x v="0"/>
  </r>
  <r>
    <s v="PH-PRJ-040-07"/>
    <x v="39"/>
    <x v="6"/>
    <d v="2027-03-19T00:00:00"/>
    <d v="2027-06-01T00:00:00"/>
    <m/>
    <m/>
    <s v="Not Started"/>
    <n v="0"/>
    <n v="26451804"/>
    <m/>
    <s v="2027-03-19T16:31:00"/>
    <s v="2027-03-19T16:31:00"/>
    <s v="system@alrashdeng.ae"/>
    <n v="1"/>
    <b v="1"/>
    <m/>
    <m/>
    <n v="-245"/>
    <x v="0"/>
    <x v="0"/>
  </r>
  <r>
    <s v="PH-PRJ-040-08"/>
    <x v="39"/>
    <x v="7"/>
    <d v="2027-06-01T00:00:00"/>
    <d v="2027-09-02T00:00:00"/>
    <m/>
    <m/>
    <s v="Not Started"/>
    <n v="0"/>
    <n v="33064755"/>
    <m/>
    <s v="2027-06-01T10:44:00"/>
    <s v="2027-06-01T10:44:00"/>
    <s v="system@alrashdeng.ae"/>
    <n v="1"/>
    <b v="1"/>
    <m/>
    <m/>
    <n v="-338"/>
    <x v="0"/>
    <x v="0"/>
  </r>
  <r>
    <s v="PH-PRJ-040-09"/>
    <x v="39"/>
    <x v="8"/>
    <d v="2027-09-02T00:00:00"/>
    <d v="2027-09-29T00:00:00"/>
    <m/>
    <m/>
    <s v="Not Started"/>
    <n v="0"/>
    <n v="9919426"/>
    <m/>
    <s v="2027-09-02T14:07:00"/>
    <s v="2027-09-02T14:07:00"/>
    <s v="system@alrashdeng.ae"/>
    <n v="1"/>
    <b v="1"/>
    <m/>
    <m/>
    <n v="-365"/>
    <x v="0"/>
    <x v="0"/>
  </r>
  <r>
    <s v="PH-PRJ-040-10"/>
    <x v="39"/>
    <x v="9"/>
    <d v="2027-09-29T00:00:00"/>
    <d v="2027-10-17T00:00:00"/>
    <m/>
    <m/>
    <s v="Not Started"/>
    <n v="0"/>
    <n v="6612951"/>
    <m/>
    <s v="2027-09-29T11:29:00"/>
    <s v="2027-09-29T11:29:00"/>
    <s v="system@alrashdeng.ae"/>
    <n v="1"/>
    <b v="1"/>
    <m/>
    <m/>
    <n v="-383"/>
    <x v="0"/>
    <x v="0"/>
  </r>
  <r>
    <s v="PH-PRJ-041-01"/>
    <x v="40"/>
    <x v="0"/>
    <d v="2023-03-12T00:00:00"/>
    <d v="2023-04-12T00:00:00"/>
    <d v="2023-03-12T00:00:00"/>
    <d v="2023-04-12T00:00:00"/>
    <s v="Completed"/>
    <n v="100"/>
    <n v="8250893"/>
    <m/>
    <s v="2023-03-12T07:34:00"/>
    <s v="2023-03-12T07:34:00"/>
    <s v="system@alrashdeng.ae"/>
    <n v="1"/>
    <b v="1"/>
    <m/>
    <n v="0"/>
    <m/>
    <x v="0"/>
    <x v="0"/>
  </r>
  <r>
    <s v="PH-PRJ-041-02"/>
    <x v="40"/>
    <x v="1"/>
    <d v="2023-04-12T00:00:00"/>
    <d v="2023-06-14T00:00:00"/>
    <d v="2023-04-12T00:00:00"/>
    <d v="2023-06-14T00:00:00"/>
    <s v="Completed"/>
    <n v="100"/>
    <n v="16501786"/>
    <m/>
    <s v="2023-04-12T09:30:00"/>
    <s v="2023-04-12T09:30:00"/>
    <s v="system@alrashdeng.ae"/>
    <n v="1"/>
    <b v="1"/>
    <m/>
    <n v="0"/>
    <m/>
    <x v="0"/>
    <x v="0"/>
  </r>
  <r>
    <s v="PH-PRJ-041-03"/>
    <x v="40"/>
    <x v="2"/>
    <d v="2023-06-14T00:00:00"/>
    <d v="2023-08-28T00:00:00"/>
    <d v="2023-06-14T00:00:00"/>
    <d v="2023-08-28T00:00:00"/>
    <s v="Completed"/>
    <n v="100"/>
    <n v="19802143"/>
    <m/>
    <s v="2023-06-14T09:40:00"/>
    <s v="2023-06-14T09:40:00"/>
    <s v="system@alrashdeng.ae"/>
    <n v="1"/>
    <b v="1"/>
    <s v="Critical Phase"/>
    <n v="0"/>
    <m/>
    <x v="0"/>
    <x v="0"/>
  </r>
  <r>
    <s v="PH-PRJ-041-04"/>
    <x v="40"/>
    <x v="3"/>
    <d v="2023-08-28T00:00:00"/>
    <d v="2023-11-30T00:00:00"/>
    <d v="2023-08-28T00:00:00"/>
    <d v="2023-11-30T00:00:00"/>
    <s v="Completed"/>
    <n v="100"/>
    <n v="24752679"/>
    <m/>
    <s v="2023-08-28T10:20:00"/>
    <s v="2023-08-28T10:20:00"/>
    <s v="system@alrashdeng.ae"/>
    <n v="1"/>
    <b v="1"/>
    <m/>
    <n v="0"/>
    <m/>
    <x v="0"/>
    <x v="0"/>
  </r>
  <r>
    <s v="PH-PRJ-041-05"/>
    <x v="40"/>
    <x v="4"/>
    <d v="2023-11-30T00:00:00"/>
    <d v="2024-05-05T00:00:00"/>
    <d v="2023-11-30T00:00:00"/>
    <d v="2024-05-05T00:00:00"/>
    <s v="Completed"/>
    <n v="100"/>
    <n v="41254466"/>
    <m/>
    <s v="2023-11-30T16:02:00"/>
    <s v="2023-11-30T16:02:00"/>
    <s v="system@alrashdeng.ae"/>
    <n v="1"/>
    <b v="1"/>
    <s v="Critical Phase"/>
    <n v="0"/>
    <m/>
    <x v="0"/>
    <x v="0"/>
  </r>
  <r>
    <s v="PH-PRJ-041-06"/>
    <x v="40"/>
    <x v="5"/>
    <d v="2024-05-05T00:00:00"/>
    <d v="2024-07-07T00:00:00"/>
    <d v="2024-05-05T00:00:00"/>
    <d v="2024-07-07T00:00:00"/>
    <s v="Completed"/>
    <n v="100"/>
    <n v="16501786"/>
    <m/>
    <s v="2024-05-05T16:49:00"/>
    <s v="2024-05-05T16:49:00"/>
    <s v="system@alrashdeng.ae"/>
    <n v="1"/>
    <b v="1"/>
    <m/>
    <n v="0"/>
    <m/>
    <x v="0"/>
    <x v="0"/>
  </r>
  <r>
    <s v="PH-PRJ-041-07"/>
    <x v="40"/>
    <x v="6"/>
    <d v="2024-07-07T00:00:00"/>
    <d v="2024-08-26T00:00:00"/>
    <d v="2024-07-07T00:00:00"/>
    <d v="2024-08-26T00:00:00"/>
    <s v="Completed"/>
    <n v="100"/>
    <n v="13201429"/>
    <m/>
    <s v="2024-07-07T13:03:00"/>
    <s v="2024-07-07T13:03:00"/>
    <s v="system@alrashdeng.ae"/>
    <n v="1"/>
    <b v="1"/>
    <m/>
    <n v="0"/>
    <m/>
    <x v="0"/>
    <x v="0"/>
  </r>
  <r>
    <s v="PH-PRJ-041-08"/>
    <x v="40"/>
    <x v="7"/>
    <d v="2024-08-26T00:00:00"/>
    <d v="2024-10-28T00:00:00"/>
    <d v="2024-08-26T00:00:00"/>
    <d v="2024-10-28T00:00:00"/>
    <s v="Completed"/>
    <n v="100"/>
    <n v="16501786"/>
    <m/>
    <s v="2024-08-26T12:50:00"/>
    <s v="2024-08-26T12:50:00"/>
    <s v="system@alrashdeng.ae"/>
    <n v="1"/>
    <b v="1"/>
    <m/>
    <n v="0"/>
    <m/>
    <x v="0"/>
    <x v="0"/>
  </r>
  <r>
    <s v="PH-PRJ-041-09"/>
    <x v="40"/>
    <x v="8"/>
    <d v="2024-10-28T00:00:00"/>
    <d v="2024-11-15T00:00:00"/>
    <d v="2024-10-28T00:00:00"/>
    <d v="2024-11-15T00:00:00"/>
    <s v="Completed"/>
    <n v="100"/>
    <n v="4950535"/>
    <m/>
    <s v="2024-10-28T13:30:00"/>
    <s v="2024-10-28T13:30:00"/>
    <s v="system@alrashdeng.ae"/>
    <n v="1"/>
    <b v="1"/>
    <m/>
    <n v="0"/>
    <m/>
    <x v="0"/>
    <x v="0"/>
  </r>
  <r>
    <s v="PH-PRJ-041-10"/>
    <x v="40"/>
    <x v="9"/>
    <d v="2024-11-15T00:00:00"/>
    <d v="2024-11-27T00:00:00"/>
    <d v="2024-11-15T00:00:00"/>
    <d v="2024-11-27T00:00:00"/>
    <s v="Completed"/>
    <n v="100"/>
    <n v="3300357"/>
    <m/>
    <s v="2024-11-15T10:03:00"/>
    <s v="2024-11-15T10:03:00"/>
    <s v="system@alrashdeng.ae"/>
    <n v="1"/>
    <b v="1"/>
    <m/>
    <n v="0"/>
    <m/>
    <x v="0"/>
    <x v="0"/>
  </r>
  <r>
    <s v="PH-PRJ-042-01"/>
    <x v="41"/>
    <x v="0"/>
    <d v="2022-12-31T00:00:00"/>
    <d v="2023-03-10T00:00:00"/>
    <d v="2022-12-31T00:00:00"/>
    <d v="2023-03-10T00:00:00"/>
    <s v="Completed"/>
    <n v="100"/>
    <n v="14947524"/>
    <m/>
    <s v="2022-12-31T10:55:00"/>
    <s v="2022-12-31T10:55:00"/>
    <s v="system@alrashdeng.ae"/>
    <n v="1"/>
    <b v="1"/>
    <m/>
    <n v="0"/>
    <m/>
    <x v="0"/>
    <x v="0"/>
  </r>
  <r>
    <s v="PH-PRJ-042-02"/>
    <x v="41"/>
    <x v="1"/>
    <d v="2023-03-10T00:00:00"/>
    <d v="2023-07-26T00:00:00"/>
    <d v="2023-03-10T00:00:00"/>
    <d v="2023-07-26T00:00:00"/>
    <s v="Completed"/>
    <n v="100"/>
    <n v="29895048"/>
    <m/>
    <s v="2023-03-10T07:48:00"/>
    <s v="2023-03-10T07:48:00"/>
    <s v="system@alrashdeng.ae"/>
    <n v="1"/>
    <b v="1"/>
    <m/>
    <n v="0"/>
    <m/>
    <x v="0"/>
    <x v="0"/>
  </r>
  <r>
    <s v="PH-PRJ-042-03"/>
    <x v="41"/>
    <x v="2"/>
    <d v="2023-07-26T00:00:00"/>
    <d v="2024-01-07T00:00:00"/>
    <d v="2023-07-26T00:00:00"/>
    <d v="2024-01-07T00:00:00"/>
    <s v="Completed"/>
    <n v="100"/>
    <n v="35874058"/>
    <m/>
    <s v="2023-07-26T17:27:00"/>
    <s v="2023-07-26T17:27:00"/>
    <s v="system@alrashdeng.ae"/>
    <n v="1"/>
    <b v="1"/>
    <s v="Critical Phase"/>
    <n v="0"/>
    <m/>
    <x v="0"/>
    <x v="0"/>
  </r>
  <r>
    <s v="PH-PRJ-042-04"/>
    <x v="41"/>
    <x v="3"/>
    <d v="2024-01-07T00:00:00"/>
    <d v="2024-08-01T00:00:00"/>
    <d v="2024-01-07T00:00:00"/>
    <d v="2024-08-01T00:00:00"/>
    <s v="Completed"/>
    <n v="100"/>
    <n v="44842572"/>
    <m/>
    <s v="2024-01-07T11:16:00"/>
    <s v="2024-01-07T11:16:00"/>
    <s v="system@alrashdeng.ae"/>
    <n v="1"/>
    <b v="1"/>
    <m/>
    <n v="0"/>
    <m/>
    <x v="0"/>
    <x v="0"/>
  </r>
  <r>
    <s v="PH-PRJ-042-05"/>
    <x v="41"/>
    <x v="4"/>
    <d v="2024-08-01T00:00:00"/>
    <d v="2025-07-12T00:00:00"/>
    <d v="2024-08-01T00:00:00"/>
    <d v="2025-07-12T00:00:00"/>
    <s v="Completed"/>
    <n v="100"/>
    <n v="74737621"/>
    <m/>
    <s v="2024-08-01T17:11:00"/>
    <s v="2024-08-01T17:11:00"/>
    <s v="system@alrashdeng.ae"/>
    <n v="1"/>
    <b v="1"/>
    <s v="Critical Phase"/>
    <n v="0"/>
    <m/>
    <x v="0"/>
    <x v="0"/>
  </r>
  <r>
    <s v="PH-PRJ-042-06"/>
    <x v="41"/>
    <x v="5"/>
    <d v="2025-07-12T00:00:00"/>
    <d v="2025-11-27T00:00:00"/>
    <d v="2025-07-12T00:00:00"/>
    <d v="2025-11-27T00:00:00"/>
    <s v="Completed"/>
    <n v="100"/>
    <n v="29895048"/>
    <m/>
    <s v="2025-07-12T08:09:00"/>
    <s v="2025-07-12T08:09:00"/>
    <s v="system@alrashdeng.ae"/>
    <n v="1"/>
    <b v="1"/>
    <m/>
    <n v="0"/>
    <m/>
    <x v="0"/>
    <x v="0"/>
  </r>
  <r>
    <s v="PH-PRJ-042-07"/>
    <x v="41"/>
    <x v="6"/>
    <d v="2025-11-27T00:00:00"/>
    <d v="2026-03-17T00:00:00"/>
    <d v="2025-11-27T00:00:00"/>
    <m/>
    <s v="In Progress"/>
    <n v="28"/>
    <n v="23916038"/>
    <m/>
    <s v="2025-11-27T11:25:00"/>
    <s v="2025-11-27T11:25:00"/>
    <s v="system@alrashdeng.ae"/>
    <n v="1"/>
    <b v="1"/>
    <m/>
    <m/>
    <n v="196"/>
    <x v="1"/>
    <x v="19"/>
  </r>
  <r>
    <s v="PH-PRJ-042-08"/>
    <x v="41"/>
    <x v="7"/>
    <d v="2026-03-17T00:00:00"/>
    <d v="2026-08-02T00:00:00"/>
    <m/>
    <m/>
    <s v="Not Started"/>
    <n v="0"/>
    <n v="29895048"/>
    <m/>
    <s v="2026-03-17T08:19:00"/>
    <s v="2026-03-17T08:19:00"/>
    <s v="system@alrashdeng.ae"/>
    <n v="1"/>
    <b v="1"/>
    <m/>
    <m/>
    <n v="58"/>
    <x v="1"/>
    <x v="20"/>
  </r>
  <r>
    <s v="PH-PRJ-042-09"/>
    <x v="41"/>
    <x v="8"/>
    <d v="2026-08-02T00:00:00"/>
    <d v="2026-09-12T00:00:00"/>
    <m/>
    <m/>
    <s v="Not Started"/>
    <n v="0"/>
    <n v="8968514"/>
    <m/>
    <s v="2026-08-02T14:55:00"/>
    <s v="2026-08-02T14:55:00"/>
    <s v="system@alrashdeng.ae"/>
    <n v="1"/>
    <b v="1"/>
    <m/>
    <m/>
    <n v="17"/>
    <x v="1"/>
    <x v="21"/>
  </r>
  <r>
    <s v="PH-PRJ-042-10"/>
    <x v="41"/>
    <x v="9"/>
    <d v="2026-09-12T00:00:00"/>
    <d v="2026-10-09T00:00:00"/>
    <m/>
    <m/>
    <s v="Not Started"/>
    <n v="0"/>
    <n v="5979009"/>
    <m/>
    <s v="2026-09-12T13:33:00"/>
    <s v="2026-09-12T13:33:00"/>
    <s v="system@alrashdeng.ae"/>
    <n v="1"/>
    <b v="1"/>
    <m/>
    <m/>
    <n v="-10"/>
    <x v="0"/>
    <x v="0"/>
  </r>
  <r>
    <s v="PH-PRJ-043-01"/>
    <x v="42"/>
    <x v="0"/>
    <d v="2024-07-21T00:00:00"/>
    <d v="2024-09-01T00:00:00"/>
    <d v="2024-07-21T00:00:00"/>
    <d v="2024-09-01T00:00:00"/>
    <s v="Completed"/>
    <n v="100"/>
    <n v="5466404"/>
    <m/>
    <s v="2024-07-21T10:42:00"/>
    <s v="2024-07-21T10:42:00"/>
    <s v="system@alrashdeng.ae"/>
    <n v="1"/>
    <b v="1"/>
    <m/>
    <n v="0"/>
    <m/>
    <x v="0"/>
    <x v="0"/>
  </r>
  <r>
    <s v="PH-PRJ-043-02"/>
    <x v="42"/>
    <x v="1"/>
    <d v="2024-09-01T00:00:00"/>
    <d v="2024-11-24T00:00:00"/>
    <d v="2024-09-01T00:00:00"/>
    <d v="2024-11-24T00:00:00"/>
    <s v="Completed"/>
    <n v="100"/>
    <n v="10932809"/>
    <m/>
    <s v="2024-09-01T11:11:00"/>
    <s v="2024-09-01T11:11:00"/>
    <s v="system@alrashdeng.ae"/>
    <n v="1"/>
    <b v="1"/>
    <m/>
    <n v="0"/>
    <m/>
    <x v="0"/>
    <x v="0"/>
  </r>
  <r>
    <s v="PH-PRJ-043-03"/>
    <x v="42"/>
    <x v="2"/>
    <d v="2024-11-24T00:00:00"/>
    <d v="2025-03-04T00:00:00"/>
    <d v="2024-11-24T00:00:00"/>
    <d v="2025-03-04T00:00:00"/>
    <s v="Completed"/>
    <n v="100"/>
    <n v="13119371"/>
    <m/>
    <s v="2024-11-24T07:05:00"/>
    <s v="2024-11-24T07:05:00"/>
    <s v="system@alrashdeng.ae"/>
    <n v="1"/>
    <b v="1"/>
    <s v="Critical Phase"/>
    <n v="0"/>
    <m/>
    <x v="0"/>
    <x v="0"/>
  </r>
  <r>
    <s v="PH-PRJ-043-04"/>
    <x v="42"/>
    <x v="3"/>
    <d v="2025-03-04T00:00:00"/>
    <d v="2025-07-08T00:00:00"/>
    <d v="2025-03-04T00:00:00"/>
    <d v="2025-07-08T00:00:00"/>
    <s v="Completed"/>
    <n v="100"/>
    <n v="16399214"/>
    <m/>
    <s v="2025-03-04T13:21:00"/>
    <s v="2025-03-04T13:21:00"/>
    <s v="system@alrashdeng.ae"/>
    <n v="1"/>
    <b v="1"/>
    <m/>
    <n v="0"/>
    <m/>
    <x v="0"/>
    <x v="0"/>
  </r>
  <r>
    <s v="PH-PRJ-043-05"/>
    <x v="42"/>
    <x v="4"/>
    <d v="2025-07-08T00:00:00"/>
    <d v="2026-02-03T00:00:00"/>
    <d v="2025-07-08T00:00:00"/>
    <d v="2026-02-03T00:00:00"/>
    <s v="Completed"/>
    <n v="100"/>
    <n v="27332023"/>
    <m/>
    <s v="2025-07-08T11:10:00"/>
    <s v="2025-07-08T11:10:00"/>
    <s v="system@alrashdeng.ae"/>
    <n v="1"/>
    <b v="1"/>
    <s v="Critical Phase"/>
    <n v="0"/>
    <m/>
    <x v="0"/>
    <x v="0"/>
  </r>
  <r>
    <s v="PH-PRJ-043-06"/>
    <x v="42"/>
    <x v="5"/>
    <d v="2026-02-03T00:00:00"/>
    <d v="2026-04-28T00:00:00"/>
    <d v="2026-02-03T00:00:00"/>
    <m/>
    <s v="In Progress"/>
    <n v="45"/>
    <n v="10932809"/>
    <m/>
    <s v="2026-02-03T12:26:00"/>
    <s v="2026-02-03T12:26:00"/>
    <s v="system@alrashdeng.ae"/>
    <n v="1"/>
    <b v="1"/>
    <m/>
    <m/>
    <n v="154"/>
    <x v="1"/>
    <x v="18"/>
  </r>
  <r>
    <s v="PH-PRJ-043-07"/>
    <x v="42"/>
    <x v="6"/>
    <d v="2026-04-28T00:00:00"/>
    <d v="2026-07-04T00:00:00"/>
    <m/>
    <m/>
    <s v="Not Started"/>
    <n v="0"/>
    <n v="8746247"/>
    <m/>
    <s v="2026-04-28T14:30:00"/>
    <s v="2026-04-28T14:30:00"/>
    <s v="system@alrashdeng.ae"/>
    <n v="1"/>
    <b v="1"/>
    <m/>
    <m/>
    <n v="87"/>
    <x v="1"/>
    <x v="22"/>
  </r>
  <r>
    <s v="PH-PRJ-043-08"/>
    <x v="42"/>
    <x v="7"/>
    <d v="2026-07-04T00:00:00"/>
    <d v="2026-09-26T00:00:00"/>
    <m/>
    <m/>
    <s v="Not Started"/>
    <n v="0"/>
    <n v="10932809"/>
    <m/>
    <s v="2026-07-04T15:44:00"/>
    <s v="2026-07-04T15:44:00"/>
    <s v="system@alrashdeng.ae"/>
    <n v="1"/>
    <b v="1"/>
    <m/>
    <m/>
    <n v="3"/>
    <x v="1"/>
    <x v="23"/>
  </r>
  <r>
    <s v="PH-PRJ-043-09"/>
    <x v="42"/>
    <x v="8"/>
    <d v="2026-09-26T00:00:00"/>
    <d v="2026-10-21T00:00:00"/>
    <m/>
    <m/>
    <s v="Not Started"/>
    <n v="0"/>
    <n v="3279842"/>
    <m/>
    <s v="2026-09-26T09:44:00"/>
    <s v="2026-09-26T09:44:00"/>
    <s v="system@alrashdeng.ae"/>
    <n v="1"/>
    <b v="1"/>
    <m/>
    <m/>
    <n v="-22"/>
    <x v="0"/>
    <x v="0"/>
  </r>
  <r>
    <s v="PH-PRJ-043-10"/>
    <x v="42"/>
    <x v="9"/>
    <d v="2026-10-21T00:00:00"/>
    <d v="2026-11-06T00:00:00"/>
    <m/>
    <m/>
    <s v="Not Started"/>
    <n v="0"/>
    <n v="2186561"/>
    <m/>
    <s v="2026-10-21T13:22:00"/>
    <s v="2026-10-21T13:22:00"/>
    <s v="system@alrashdeng.ae"/>
    <n v="1"/>
    <b v="1"/>
    <m/>
    <m/>
    <n v="-38"/>
    <x v="0"/>
    <x v="0"/>
  </r>
  <r>
    <s v="PH-PRJ-044-01"/>
    <x v="43"/>
    <x v="0"/>
    <d v="2024-06-06T00:00:00"/>
    <d v="2024-07-12T00:00:00"/>
    <d v="2024-06-06T00:00:00"/>
    <d v="2024-07-12T00:00:00"/>
    <s v="Completed"/>
    <n v="100"/>
    <n v="19727388"/>
    <m/>
    <s v="2024-06-06T16:24:00"/>
    <s v="2024-06-06T16:24:00"/>
    <s v="system@alrashdeng.ae"/>
    <n v="1"/>
    <b v="1"/>
    <m/>
    <n v="0"/>
    <m/>
    <x v="0"/>
    <x v="0"/>
  </r>
  <r>
    <s v="PH-PRJ-044-02"/>
    <x v="43"/>
    <x v="1"/>
    <d v="2024-07-12T00:00:00"/>
    <d v="2024-09-22T00:00:00"/>
    <d v="2024-07-12T00:00:00"/>
    <d v="2024-09-22T00:00:00"/>
    <s v="Completed"/>
    <n v="100"/>
    <n v="39454776"/>
    <m/>
    <s v="2024-07-12T07:35:00"/>
    <s v="2024-07-12T07:35:00"/>
    <s v="system@alrashdeng.ae"/>
    <n v="1"/>
    <b v="1"/>
    <m/>
    <n v="0"/>
    <m/>
    <x v="0"/>
    <x v="0"/>
  </r>
  <r>
    <s v="PH-PRJ-044-03"/>
    <x v="43"/>
    <x v="2"/>
    <d v="2024-09-22T00:00:00"/>
    <d v="2024-12-17T00:00:00"/>
    <d v="2024-09-22T00:00:00"/>
    <d v="2024-12-17T00:00:00"/>
    <s v="Completed"/>
    <n v="100"/>
    <n v="47345731"/>
    <m/>
    <s v="2024-09-22T16:12:00"/>
    <s v="2024-09-22T16:12:00"/>
    <s v="system@alrashdeng.ae"/>
    <n v="1"/>
    <b v="1"/>
    <s v="Critical Phase"/>
    <n v="0"/>
    <m/>
    <x v="0"/>
    <x v="0"/>
  </r>
  <r>
    <s v="PH-PRJ-044-04"/>
    <x v="43"/>
    <x v="3"/>
    <d v="2024-12-17T00:00:00"/>
    <d v="2025-04-04T00:00:00"/>
    <d v="2024-12-17T00:00:00"/>
    <d v="2025-04-04T00:00:00"/>
    <s v="Completed"/>
    <n v="100"/>
    <n v="59182164"/>
    <m/>
    <s v="2024-12-17T08:46:00"/>
    <s v="2024-12-17T08:46:00"/>
    <s v="system@alrashdeng.ae"/>
    <n v="1"/>
    <b v="1"/>
    <m/>
    <n v="0"/>
    <m/>
    <x v="0"/>
    <x v="0"/>
  </r>
  <r>
    <s v="PH-PRJ-044-05"/>
    <x v="43"/>
    <x v="4"/>
    <d v="2025-04-04T00:00:00"/>
    <d v="2025-10-01T00:00:00"/>
    <d v="2025-04-04T00:00:00"/>
    <d v="2025-10-01T00:00:00"/>
    <s v="Completed"/>
    <n v="100"/>
    <n v="98636941"/>
    <m/>
    <s v="2025-04-04T17:37:00"/>
    <s v="2025-04-04T17:37:00"/>
    <s v="system@alrashdeng.ae"/>
    <n v="1"/>
    <b v="1"/>
    <s v="Critical Phase"/>
    <n v="0"/>
    <m/>
    <x v="0"/>
    <x v="0"/>
  </r>
  <r>
    <s v="PH-PRJ-044-06"/>
    <x v="43"/>
    <x v="5"/>
    <d v="2025-10-01T00:00:00"/>
    <d v="2025-12-12T00:00:00"/>
    <d v="2025-10-01T00:00:00"/>
    <d v="2025-12-12T00:00:00"/>
    <s v="Completed"/>
    <n v="100"/>
    <n v="39454776"/>
    <m/>
    <s v="2025-10-01T16:09:00"/>
    <s v="2025-10-01T16:09:00"/>
    <s v="system@alrashdeng.ae"/>
    <n v="1"/>
    <b v="1"/>
    <m/>
    <n v="0"/>
    <m/>
    <x v="0"/>
    <x v="0"/>
  </r>
  <r>
    <s v="PH-PRJ-044-07"/>
    <x v="43"/>
    <x v="6"/>
    <d v="2025-12-12T00:00:00"/>
    <d v="2026-02-07T00:00:00"/>
    <d v="2025-12-12T00:00:00"/>
    <d v="2026-02-07T00:00:00"/>
    <s v="Completed"/>
    <n v="100"/>
    <n v="31563821"/>
    <m/>
    <s v="2025-12-12T12:42:00"/>
    <s v="2025-12-12T12:42:00"/>
    <s v="system@alrashdeng.ae"/>
    <n v="1"/>
    <b v="1"/>
    <m/>
    <n v="0"/>
    <m/>
    <x v="0"/>
    <x v="0"/>
  </r>
  <r>
    <s v="PH-PRJ-044-08"/>
    <x v="43"/>
    <x v="7"/>
    <d v="2026-02-07T00:00:00"/>
    <d v="2026-04-20T00:00:00"/>
    <d v="2026-02-07T00:00:00"/>
    <m/>
    <s v="In Progress"/>
    <n v="60"/>
    <n v="39454776"/>
    <m/>
    <s v="2026-02-07T07:09:00"/>
    <s v="2026-02-07T07:09:00"/>
    <s v="system@alrashdeng.ae"/>
    <n v="1"/>
    <b v="1"/>
    <m/>
    <m/>
    <n v="162"/>
    <x v="1"/>
    <x v="24"/>
  </r>
  <r>
    <s v="PH-PRJ-044-09"/>
    <x v="43"/>
    <x v="8"/>
    <d v="2026-04-20T00:00:00"/>
    <d v="2026-05-11T00:00:00"/>
    <m/>
    <m/>
    <s v="Not Started"/>
    <n v="0"/>
    <n v="11836432"/>
    <m/>
    <s v="2026-04-20T14:59:00"/>
    <s v="2026-04-20T14:59:00"/>
    <s v="system@alrashdeng.ae"/>
    <n v="1"/>
    <b v="1"/>
    <m/>
    <m/>
    <n v="141"/>
    <x v="1"/>
    <x v="25"/>
  </r>
  <r>
    <s v="PH-PRJ-044-10"/>
    <x v="43"/>
    <x v="9"/>
    <d v="2026-05-11T00:00:00"/>
    <d v="2026-05-25T00:00:00"/>
    <m/>
    <m/>
    <s v="Not Started"/>
    <n v="0"/>
    <n v="7890955"/>
    <m/>
    <s v="2026-05-11T09:31:00"/>
    <s v="2026-05-11T09:31:00"/>
    <s v="system@alrashdeng.ae"/>
    <n v="1"/>
    <b v="1"/>
    <m/>
    <m/>
    <n v="127"/>
    <x v="1"/>
    <x v="26"/>
  </r>
  <r>
    <s v="PH-PRJ-045-01"/>
    <x v="44"/>
    <x v="0"/>
    <d v="2022-04-08T00:00:00"/>
    <d v="2022-05-24T00:00:00"/>
    <d v="2022-04-08T00:00:00"/>
    <d v="2022-05-24T00:00:00"/>
    <s v="Completed"/>
    <n v="100"/>
    <n v="18864874"/>
    <m/>
    <s v="2022-04-08T12:07:00"/>
    <s v="2022-04-08T12:07:00"/>
    <s v="system@alrashdeng.ae"/>
    <n v="1"/>
    <b v="1"/>
    <m/>
    <n v="0"/>
    <m/>
    <x v="0"/>
    <x v="0"/>
  </r>
  <r>
    <s v="PH-PRJ-045-02"/>
    <x v="44"/>
    <x v="1"/>
    <d v="2022-05-24T00:00:00"/>
    <d v="2022-08-25T00:00:00"/>
    <d v="2022-05-24T00:00:00"/>
    <d v="2022-08-25T00:00:00"/>
    <s v="Completed"/>
    <n v="100"/>
    <n v="37729749"/>
    <m/>
    <s v="2022-05-24T17:26:00"/>
    <s v="2022-05-24T17:26:00"/>
    <s v="system@alrashdeng.ae"/>
    <n v="1"/>
    <b v="1"/>
    <m/>
    <n v="0"/>
    <m/>
    <x v="0"/>
    <x v="0"/>
  </r>
  <r>
    <s v="PH-PRJ-045-03"/>
    <x v="44"/>
    <x v="2"/>
    <d v="2022-08-25T00:00:00"/>
    <d v="2022-12-14T00:00:00"/>
    <d v="2022-08-25T00:00:00"/>
    <d v="2022-12-14T00:00:00"/>
    <s v="Completed"/>
    <n v="100"/>
    <n v="45275699"/>
    <m/>
    <s v="2022-08-25T11:33:00"/>
    <s v="2022-08-25T11:33:00"/>
    <s v="system@alrashdeng.ae"/>
    <n v="1"/>
    <b v="1"/>
    <s v="Critical Phase"/>
    <n v="0"/>
    <m/>
    <x v="0"/>
    <x v="0"/>
  </r>
  <r>
    <s v="PH-PRJ-045-04"/>
    <x v="44"/>
    <x v="3"/>
    <d v="2022-12-14T00:00:00"/>
    <d v="2023-05-02T00:00:00"/>
    <d v="2022-12-14T00:00:00"/>
    <d v="2023-05-02T00:00:00"/>
    <s v="Completed"/>
    <n v="100"/>
    <n v="56594624"/>
    <m/>
    <s v="2022-12-14T07:28:00"/>
    <s v="2022-12-14T07:28:00"/>
    <s v="system@alrashdeng.ae"/>
    <n v="1"/>
    <b v="1"/>
    <m/>
    <n v="0"/>
    <m/>
    <x v="0"/>
    <x v="0"/>
  </r>
  <r>
    <s v="PH-PRJ-045-05"/>
    <x v="44"/>
    <x v="4"/>
    <d v="2023-05-02T00:00:00"/>
    <d v="2023-12-20T00:00:00"/>
    <d v="2023-05-02T00:00:00"/>
    <d v="2023-12-20T00:00:00"/>
    <s v="Completed"/>
    <n v="100"/>
    <n v="94324374"/>
    <m/>
    <s v="2023-05-02T09:40:00"/>
    <s v="2023-05-02T09:40:00"/>
    <s v="system@alrashdeng.ae"/>
    <n v="1"/>
    <b v="1"/>
    <s v="Critical Phase"/>
    <n v="0"/>
    <m/>
    <x v="0"/>
    <x v="0"/>
  </r>
  <r>
    <s v="PH-PRJ-045-06"/>
    <x v="44"/>
    <x v="5"/>
    <d v="2023-12-20T00:00:00"/>
    <d v="2024-03-22T00:00:00"/>
    <d v="2023-12-20T00:00:00"/>
    <d v="2024-03-22T00:00:00"/>
    <s v="Completed"/>
    <n v="100"/>
    <n v="37729749"/>
    <m/>
    <s v="2023-12-20T14:40:00"/>
    <s v="2023-12-20T14:40:00"/>
    <s v="system@alrashdeng.ae"/>
    <n v="1"/>
    <b v="1"/>
    <m/>
    <n v="0"/>
    <m/>
    <x v="0"/>
    <x v="0"/>
  </r>
  <r>
    <s v="PH-PRJ-045-07"/>
    <x v="44"/>
    <x v="6"/>
    <d v="2024-03-22T00:00:00"/>
    <d v="2024-06-04T00:00:00"/>
    <d v="2024-03-22T00:00:00"/>
    <d v="2024-06-04T00:00:00"/>
    <s v="Completed"/>
    <n v="100"/>
    <n v="30183799"/>
    <m/>
    <s v="2024-03-22T16:06:00"/>
    <s v="2024-03-22T16:06:00"/>
    <s v="system@alrashdeng.ae"/>
    <n v="1"/>
    <b v="1"/>
    <m/>
    <n v="0"/>
    <m/>
    <x v="0"/>
    <x v="0"/>
  </r>
  <r>
    <s v="PH-PRJ-045-08"/>
    <x v="44"/>
    <x v="7"/>
    <d v="2024-06-04T00:00:00"/>
    <d v="2024-09-05T00:00:00"/>
    <d v="2024-06-04T00:00:00"/>
    <d v="2024-09-05T00:00:00"/>
    <s v="Completed"/>
    <n v="100"/>
    <n v="37729749"/>
    <m/>
    <s v="2024-06-04T07:13:00"/>
    <s v="2024-06-04T07:13:00"/>
    <s v="system@alrashdeng.ae"/>
    <n v="1"/>
    <b v="1"/>
    <m/>
    <n v="0"/>
    <m/>
    <x v="0"/>
    <x v="0"/>
  </r>
  <r>
    <s v="PH-PRJ-045-09"/>
    <x v="44"/>
    <x v="8"/>
    <d v="2024-09-05T00:00:00"/>
    <d v="2024-10-02T00:00:00"/>
    <d v="2024-09-05T00:00:00"/>
    <d v="2024-10-02T00:00:00"/>
    <s v="Completed"/>
    <n v="100"/>
    <n v="11318924"/>
    <m/>
    <s v="2024-09-05T10:26:00"/>
    <s v="2024-09-05T10:26:00"/>
    <s v="system@alrashdeng.ae"/>
    <n v="1"/>
    <b v="1"/>
    <m/>
    <n v="0"/>
    <m/>
    <x v="0"/>
    <x v="0"/>
  </r>
  <r>
    <s v="PH-PRJ-045-10"/>
    <x v="44"/>
    <x v="9"/>
    <d v="2024-10-02T00:00:00"/>
    <d v="2024-10-20T00:00:00"/>
    <d v="2024-10-02T00:00:00"/>
    <d v="2024-10-20T00:00:00"/>
    <s v="Completed"/>
    <n v="100"/>
    <n v="7545949"/>
    <m/>
    <s v="2024-10-02T15:49:00"/>
    <s v="2024-10-02T15:49:00"/>
    <s v="system@alrashdeng.ae"/>
    <n v="1"/>
    <b v="1"/>
    <m/>
    <n v="0"/>
    <m/>
    <x v="0"/>
    <x v="0"/>
  </r>
  <r>
    <s v="PH-PRJ-046-01"/>
    <x v="45"/>
    <x v="0"/>
    <d v="2022-11-25T00:00:00"/>
    <d v="2023-01-16T00:00:00"/>
    <d v="2022-11-25T00:00:00"/>
    <d v="2023-01-16T00:00:00"/>
    <s v="Completed"/>
    <n v="100"/>
    <n v="3855244"/>
    <m/>
    <s v="2022-11-25T09:38:00"/>
    <s v="2022-11-25T09:38:00"/>
    <s v="system@alrashdeng.ae"/>
    <n v="1"/>
    <b v="1"/>
    <m/>
    <n v="0"/>
    <m/>
    <x v="0"/>
    <x v="0"/>
  </r>
  <r>
    <s v="PH-PRJ-046-02"/>
    <x v="45"/>
    <x v="1"/>
    <d v="2023-01-16T00:00:00"/>
    <d v="2023-05-01T00:00:00"/>
    <d v="2023-01-16T00:00:00"/>
    <d v="2023-05-01T00:00:00"/>
    <s v="Completed"/>
    <n v="100"/>
    <n v="7710489"/>
    <m/>
    <s v="2023-01-16T13:13:00"/>
    <s v="2023-01-16T13:13:00"/>
    <s v="system@alrashdeng.ae"/>
    <n v="1"/>
    <b v="1"/>
    <m/>
    <n v="0"/>
    <m/>
    <x v="0"/>
    <x v="0"/>
  </r>
  <r>
    <s v="PH-PRJ-046-03"/>
    <x v="45"/>
    <x v="2"/>
    <d v="2023-05-01T00:00:00"/>
    <d v="2023-09-04T00:00:00"/>
    <d v="2023-05-01T00:00:00"/>
    <d v="2023-09-04T00:00:00"/>
    <s v="Completed"/>
    <n v="100"/>
    <n v="9252587"/>
    <m/>
    <s v="2023-05-01T12:13:00"/>
    <s v="2023-05-01T12:13:00"/>
    <s v="system@alrashdeng.ae"/>
    <n v="1"/>
    <b v="1"/>
    <s v="Critical Phase"/>
    <n v="0"/>
    <m/>
    <x v="0"/>
    <x v="0"/>
  </r>
  <r>
    <s v="PH-PRJ-046-04"/>
    <x v="45"/>
    <x v="3"/>
    <d v="2023-09-04T00:00:00"/>
    <d v="2024-02-08T00:00:00"/>
    <d v="2023-09-04T00:00:00"/>
    <d v="2024-02-08T00:00:00"/>
    <s v="Completed"/>
    <n v="100"/>
    <n v="11565733"/>
    <m/>
    <s v="2023-09-04T10:43:00"/>
    <s v="2023-09-04T10:43:00"/>
    <s v="system@alrashdeng.ae"/>
    <n v="1"/>
    <b v="1"/>
    <m/>
    <n v="0"/>
    <m/>
    <x v="0"/>
    <x v="0"/>
  </r>
  <r>
    <s v="PH-PRJ-046-05"/>
    <x v="45"/>
    <x v="4"/>
    <d v="2024-02-08T00:00:00"/>
    <d v="2024-10-27T00:00:00"/>
    <d v="2024-02-08T00:00:00"/>
    <d v="2024-10-27T00:00:00"/>
    <s v="Completed"/>
    <n v="100"/>
    <n v="19276223"/>
    <m/>
    <s v="2024-02-08T16:00:00"/>
    <s v="2024-02-08T16:00:00"/>
    <s v="system@alrashdeng.ae"/>
    <n v="1"/>
    <b v="1"/>
    <s v="Critical Phase"/>
    <n v="0"/>
    <m/>
    <x v="0"/>
    <x v="0"/>
  </r>
  <r>
    <s v="PH-PRJ-046-06"/>
    <x v="45"/>
    <x v="5"/>
    <d v="2024-10-27T00:00:00"/>
    <d v="2025-02-09T00:00:00"/>
    <d v="2024-10-27T00:00:00"/>
    <d v="2025-02-09T00:00:00"/>
    <s v="Completed"/>
    <n v="100"/>
    <n v="7710489"/>
    <m/>
    <s v="2024-10-27T12:52:00"/>
    <s v="2024-10-27T12:52:00"/>
    <s v="system@alrashdeng.ae"/>
    <n v="1"/>
    <b v="1"/>
    <m/>
    <n v="0"/>
    <m/>
    <x v="0"/>
    <x v="0"/>
  </r>
  <r>
    <s v="PH-PRJ-046-07"/>
    <x v="45"/>
    <x v="6"/>
    <d v="2025-02-09T00:00:00"/>
    <d v="2025-05-04T00:00:00"/>
    <d v="2025-02-09T00:00:00"/>
    <d v="2025-05-04T00:00:00"/>
    <s v="Completed"/>
    <n v="100"/>
    <n v="6168391"/>
    <m/>
    <s v="2025-02-09T12:01:00"/>
    <s v="2025-02-09T12:01:00"/>
    <s v="system@alrashdeng.ae"/>
    <n v="1"/>
    <b v="1"/>
    <m/>
    <n v="0"/>
    <m/>
    <x v="0"/>
    <x v="0"/>
  </r>
  <r>
    <s v="PH-PRJ-046-08"/>
    <x v="45"/>
    <x v="7"/>
    <d v="2025-05-04T00:00:00"/>
    <d v="2025-08-17T00:00:00"/>
    <d v="2025-05-04T00:00:00"/>
    <d v="2025-08-17T00:00:00"/>
    <s v="Completed"/>
    <n v="100"/>
    <n v="7710489"/>
    <m/>
    <s v="2025-05-04T11:57:00"/>
    <s v="2025-05-04T11:57:00"/>
    <s v="system@alrashdeng.ae"/>
    <n v="1"/>
    <b v="1"/>
    <m/>
    <n v="0"/>
    <m/>
    <x v="0"/>
    <x v="0"/>
  </r>
  <r>
    <s v="PH-PRJ-046-09"/>
    <x v="45"/>
    <x v="8"/>
    <d v="2025-08-17T00:00:00"/>
    <d v="2025-09-17T00:00:00"/>
    <d v="2025-08-17T00:00:00"/>
    <d v="2025-09-17T00:00:00"/>
    <s v="Completed"/>
    <n v="100"/>
    <n v="2313146"/>
    <m/>
    <s v="2025-08-17T11:32:00"/>
    <s v="2025-08-17T11:32:00"/>
    <s v="system@alrashdeng.ae"/>
    <n v="1"/>
    <b v="1"/>
    <m/>
    <n v="0"/>
    <m/>
    <x v="0"/>
    <x v="0"/>
  </r>
  <r>
    <s v="PH-PRJ-046-10"/>
    <x v="45"/>
    <x v="9"/>
    <d v="2025-09-17T00:00:00"/>
    <d v="2025-10-08T00:00:00"/>
    <d v="2025-09-17T00:00:00"/>
    <d v="2025-10-08T00:00:00"/>
    <s v="Completed"/>
    <n v="100"/>
    <n v="1542097"/>
    <m/>
    <s v="2025-09-17T08:44:00"/>
    <s v="2025-09-17T08:44:00"/>
    <s v="system@alrashdeng.ae"/>
    <n v="1"/>
    <b v="1"/>
    <m/>
    <n v="0"/>
    <m/>
    <x v="0"/>
    <x v="0"/>
  </r>
  <r>
    <s v="PH-PRJ-047-01"/>
    <x v="46"/>
    <x v="0"/>
    <d v="2024-09-10T00:00:00"/>
    <d v="2024-10-10T00:00:00"/>
    <d v="2024-09-10T00:00:00"/>
    <d v="2024-10-10T00:00:00"/>
    <s v="Completed"/>
    <n v="100"/>
    <n v="24175572"/>
    <m/>
    <s v="2024-09-10T14:41:00"/>
    <s v="2024-09-10T14:41:00"/>
    <s v="system@alrashdeng.ae"/>
    <n v="1"/>
    <b v="1"/>
    <m/>
    <n v="0"/>
    <m/>
    <x v="0"/>
    <x v="0"/>
  </r>
  <r>
    <s v="PH-PRJ-047-02"/>
    <x v="46"/>
    <x v="1"/>
    <d v="2024-10-10T00:00:00"/>
    <d v="2024-12-09T00:00:00"/>
    <d v="2024-10-10T00:00:00"/>
    <d v="2024-12-09T00:00:00"/>
    <s v="Completed"/>
    <n v="100"/>
    <n v="48351145"/>
    <m/>
    <s v="2024-10-10T14:26:00"/>
    <s v="2024-10-10T14:26:00"/>
    <s v="system@alrashdeng.ae"/>
    <n v="1"/>
    <b v="1"/>
    <m/>
    <n v="0"/>
    <m/>
    <x v="0"/>
    <x v="0"/>
  </r>
  <r>
    <s v="PH-PRJ-047-03"/>
    <x v="46"/>
    <x v="2"/>
    <d v="2024-12-09T00:00:00"/>
    <d v="2025-02-19T00:00:00"/>
    <d v="2024-12-09T00:00:00"/>
    <d v="2025-02-19T00:00:00"/>
    <s v="Completed"/>
    <n v="100"/>
    <n v="58021374"/>
    <m/>
    <s v="2024-12-09T13:22:00"/>
    <s v="2024-12-09T13:22:00"/>
    <s v="system@alrashdeng.ae"/>
    <n v="1"/>
    <b v="1"/>
    <s v="Critical Phase"/>
    <n v="0"/>
    <m/>
    <x v="0"/>
    <x v="0"/>
  </r>
  <r>
    <s v="PH-PRJ-047-04"/>
    <x v="46"/>
    <x v="3"/>
    <d v="2025-02-19T00:00:00"/>
    <d v="2025-05-20T00:00:00"/>
    <d v="2025-02-19T00:00:00"/>
    <d v="2025-05-20T00:00:00"/>
    <s v="Completed"/>
    <n v="100"/>
    <n v="72526717"/>
    <m/>
    <s v="2025-02-19T12:53:00"/>
    <s v="2025-02-19T12:53:00"/>
    <s v="system@alrashdeng.ae"/>
    <n v="1"/>
    <b v="1"/>
    <m/>
    <n v="0"/>
    <m/>
    <x v="0"/>
    <x v="0"/>
  </r>
  <r>
    <s v="PH-PRJ-047-05"/>
    <x v="46"/>
    <x v="4"/>
    <d v="2025-05-20T00:00:00"/>
    <d v="2025-10-17T00:00:00"/>
    <d v="2025-05-20T00:00:00"/>
    <d v="2025-10-17T00:00:00"/>
    <s v="Completed"/>
    <n v="100"/>
    <n v="120877863"/>
    <m/>
    <s v="2025-05-20T15:27:00"/>
    <s v="2025-05-20T15:27:00"/>
    <s v="system@alrashdeng.ae"/>
    <n v="1"/>
    <b v="1"/>
    <s v="Critical Phase"/>
    <n v="0"/>
    <m/>
    <x v="0"/>
    <x v="0"/>
  </r>
  <r>
    <s v="PH-PRJ-047-06"/>
    <x v="46"/>
    <x v="5"/>
    <d v="2025-10-17T00:00:00"/>
    <d v="2025-12-16T00:00:00"/>
    <d v="2025-10-17T00:00:00"/>
    <d v="2025-12-16T00:00:00"/>
    <s v="Completed"/>
    <n v="100"/>
    <n v="48351145"/>
    <m/>
    <s v="2025-10-17T15:48:00"/>
    <s v="2025-10-17T15:48:00"/>
    <s v="system@alrashdeng.ae"/>
    <n v="1"/>
    <b v="1"/>
    <m/>
    <n v="0"/>
    <m/>
    <x v="0"/>
    <x v="0"/>
  </r>
  <r>
    <s v="PH-PRJ-047-07"/>
    <x v="46"/>
    <x v="6"/>
    <d v="2025-12-16T00:00:00"/>
    <d v="2026-02-02T00:00:00"/>
    <d v="2025-12-16T00:00:00"/>
    <d v="2026-02-02T00:00:00"/>
    <s v="Completed"/>
    <n v="100"/>
    <n v="38680916"/>
    <m/>
    <s v="2025-12-16T12:07:00"/>
    <s v="2025-12-16T12:07:00"/>
    <s v="system@alrashdeng.ae"/>
    <n v="1"/>
    <b v="1"/>
    <m/>
    <n v="0"/>
    <m/>
    <x v="0"/>
    <x v="0"/>
  </r>
  <r>
    <s v="PH-PRJ-047-08"/>
    <x v="46"/>
    <x v="7"/>
    <d v="2026-02-02T00:00:00"/>
    <d v="2026-04-03T00:00:00"/>
    <d v="2026-02-02T00:00:00"/>
    <m/>
    <s v="In Progress"/>
    <n v="42"/>
    <n v="48351145"/>
    <m/>
    <s v="2026-02-02T14:27:00"/>
    <s v="2026-02-02T14:27:00"/>
    <s v="system@alrashdeng.ae"/>
    <n v="1"/>
    <b v="1"/>
    <m/>
    <m/>
    <n v="179"/>
    <x v="1"/>
    <x v="27"/>
  </r>
  <r>
    <s v="PH-PRJ-047-09"/>
    <x v="46"/>
    <x v="8"/>
    <d v="2026-04-03T00:00:00"/>
    <d v="2026-04-21T00:00:00"/>
    <m/>
    <m/>
    <s v="Not Started"/>
    <n v="0"/>
    <n v="14505343"/>
    <m/>
    <s v="2026-04-03T12:11:00"/>
    <s v="2026-04-03T12:11:00"/>
    <s v="system@alrashdeng.ae"/>
    <n v="1"/>
    <b v="1"/>
    <m/>
    <m/>
    <n v="161"/>
    <x v="1"/>
    <x v="28"/>
  </r>
  <r>
    <s v="PH-PRJ-047-10"/>
    <x v="46"/>
    <x v="9"/>
    <d v="2026-04-21T00:00:00"/>
    <d v="2026-05-03T00:00:00"/>
    <m/>
    <m/>
    <s v="Not Started"/>
    <n v="0"/>
    <n v="9670229"/>
    <m/>
    <s v="2026-04-21T15:38:00"/>
    <s v="2026-04-21T15:38:00"/>
    <s v="system@alrashdeng.ae"/>
    <n v="1"/>
    <b v="1"/>
    <m/>
    <m/>
    <n v="149"/>
    <x v="1"/>
    <x v="29"/>
  </r>
  <r>
    <s v="PH-PRJ-048-01"/>
    <x v="47"/>
    <x v="0"/>
    <d v="2022-07-28T00:00:00"/>
    <d v="2022-08-18T00:00:00"/>
    <d v="2022-07-28T00:00:00"/>
    <d v="2022-08-18T00:00:00"/>
    <s v="Completed"/>
    <n v="100"/>
    <n v="15056738"/>
    <m/>
    <s v="2022-07-28T09:34:00"/>
    <s v="2022-07-28T09:34:00"/>
    <s v="system@alrashdeng.ae"/>
    <n v="1"/>
    <b v="1"/>
    <m/>
    <n v="0"/>
    <m/>
    <x v="0"/>
    <x v="0"/>
  </r>
  <r>
    <s v="PH-PRJ-048-02"/>
    <x v="47"/>
    <x v="1"/>
    <d v="2022-08-18T00:00:00"/>
    <d v="2022-09-29T00:00:00"/>
    <d v="2022-08-18T00:00:00"/>
    <d v="2022-09-29T00:00:00"/>
    <s v="Completed"/>
    <n v="100"/>
    <n v="30113477"/>
    <m/>
    <s v="2022-08-18T13:24:00"/>
    <s v="2022-08-18T13:24:00"/>
    <s v="system@alrashdeng.ae"/>
    <n v="1"/>
    <b v="1"/>
    <m/>
    <n v="0"/>
    <m/>
    <x v="0"/>
    <x v="0"/>
  </r>
  <r>
    <s v="PH-PRJ-048-03"/>
    <x v="47"/>
    <x v="2"/>
    <d v="2022-09-29T00:00:00"/>
    <d v="2022-11-18T00:00:00"/>
    <d v="2022-09-29T00:00:00"/>
    <d v="2022-11-18T00:00:00"/>
    <s v="Completed"/>
    <n v="100"/>
    <n v="36136173"/>
    <m/>
    <s v="2022-09-29T11:54:00"/>
    <s v="2022-09-29T11:54:00"/>
    <s v="system@alrashdeng.ae"/>
    <n v="1"/>
    <b v="1"/>
    <s v="Critical Phase"/>
    <n v="0"/>
    <m/>
    <x v="0"/>
    <x v="0"/>
  </r>
  <r>
    <s v="PH-PRJ-048-04"/>
    <x v="47"/>
    <x v="3"/>
    <d v="2022-11-18T00:00:00"/>
    <d v="2023-01-20T00:00:00"/>
    <d v="2022-11-18T00:00:00"/>
    <d v="2023-01-20T00:00:00"/>
    <s v="Completed"/>
    <n v="100"/>
    <n v="45170216"/>
    <m/>
    <s v="2022-11-18T17:44:00"/>
    <s v="2022-11-18T17:44:00"/>
    <s v="system@alrashdeng.ae"/>
    <n v="1"/>
    <b v="1"/>
    <m/>
    <n v="0"/>
    <m/>
    <x v="0"/>
    <x v="0"/>
  </r>
  <r>
    <s v="PH-PRJ-048-05"/>
    <x v="47"/>
    <x v="4"/>
    <d v="2023-01-20T00:00:00"/>
    <d v="2023-05-05T00:00:00"/>
    <d v="2023-01-20T00:00:00"/>
    <d v="2023-05-05T00:00:00"/>
    <s v="Completed"/>
    <n v="100"/>
    <n v="75283693"/>
    <m/>
    <s v="2023-01-20T17:27:00"/>
    <s v="2023-01-20T17:27:00"/>
    <s v="system@alrashdeng.ae"/>
    <n v="1"/>
    <b v="1"/>
    <s v="Critical Phase"/>
    <n v="0"/>
    <m/>
    <x v="0"/>
    <x v="0"/>
  </r>
  <r>
    <s v="PH-PRJ-048-06"/>
    <x v="47"/>
    <x v="5"/>
    <d v="2023-05-05T00:00:00"/>
    <d v="2023-06-16T00:00:00"/>
    <d v="2023-05-05T00:00:00"/>
    <d v="2023-06-16T00:00:00"/>
    <s v="Completed"/>
    <n v="100"/>
    <n v="30113477"/>
    <m/>
    <s v="2023-05-05T17:18:00"/>
    <s v="2023-05-05T17:18:00"/>
    <s v="system@alrashdeng.ae"/>
    <n v="1"/>
    <b v="1"/>
    <m/>
    <n v="0"/>
    <m/>
    <x v="0"/>
    <x v="0"/>
  </r>
  <r>
    <s v="PH-PRJ-048-07"/>
    <x v="47"/>
    <x v="6"/>
    <d v="2023-06-16T00:00:00"/>
    <d v="2023-07-19T00:00:00"/>
    <d v="2023-06-16T00:00:00"/>
    <d v="2023-07-19T00:00:00"/>
    <s v="Completed"/>
    <n v="100"/>
    <n v="24090782"/>
    <m/>
    <s v="2023-06-16T16:59:00"/>
    <s v="2023-06-16T16:59:00"/>
    <s v="system@alrashdeng.ae"/>
    <n v="1"/>
    <b v="1"/>
    <m/>
    <n v="0"/>
    <m/>
    <x v="0"/>
    <x v="0"/>
  </r>
  <r>
    <s v="PH-PRJ-048-08"/>
    <x v="47"/>
    <x v="7"/>
    <d v="2023-07-19T00:00:00"/>
    <d v="2023-08-30T00:00:00"/>
    <d v="2023-07-19T00:00:00"/>
    <d v="2023-08-30T00:00:00"/>
    <s v="Completed"/>
    <n v="100"/>
    <n v="30113477"/>
    <m/>
    <s v="2023-07-19T08:05:00"/>
    <s v="2023-07-19T08:05:00"/>
    <s v="system@alrashdeng.ae"/>
    <n v="1"/>
    <b v="1"/>
    <m/>
    <n v="0"/>
    <m/>
    <x v="0"/>
    <x v="0"/>
  </r>
  <r>
    <s v="PH-PRJ-048-09"/>
    <x v="47"/>
    <x v="8"/>
    <d v="2023-08-30T00:00:00"/>
    <d v="2023-09-11T00:00:00"/>
    <d v="2023-08-30T00:00:00"/>
    <d v="2023-09-11T00:00:00"/>
    <s v="Completed"/>
    <n v="100"/>
    <n v="9034043"/>
    <m/>
    <s v="2023-08-30T08:05:00"/>
    <s v="2023-08-30T08:05:00"/>
    <s v="system@alrashdeng.ae"/>
    <n v="1"/>
    <b v="1"/>
    <m/>
    <n v="0"/>
    <m/>
    <x v="0"/>
    <x v="0"/>
  </r>
  <r>
    <s v="PH-PRJ-048-10"/>
    <x v="47"/>
    <x v="9"/>
    <d v="2023-09-11T00:00:00"/>
    <d v="2023-09-19T00:00:00"/>
    <d v="2023-09-11T00:00:00"/>
    <d v="2023-09-19T00:00:00"/>
    <s v="Completed"/>
    <n v="100"/>
    <n v="6022695"/>
    <m/>
    <s v="2023-09-11T17:01:00"/>
    <s v="2023-09-11T17:01:00"/>
    <s v="system@alrashdeng.ae"/>
    <n v="1"/>
    <b v="1"/>
    <m/>
    <n v="0"/>
    <m/>
    <x v="0"/>
    <x v="0"/>
  </r>
  <r>
    <s v="PH-PRJ-049-01"/>
    <x v="48"/>
    <x v="0"/>
    <d v="2024-10-09T00:00:00"/>
    <d v="2024-11-03T00:00:00"/>
    <d v="2024-10-09T00:00:00"/>
    <d v="2024-11-03T00:00:00"/>
    <s v="Completed"/>
    <n v="100"/>
    <n v="10901120"/>
    <m/>
    <s v="2024-10-09T16:59:00"/>
    <s v="2024-10-09T16:59:00"/>
    <s v="system@alrashdeng.ae"/>
    <n v="1"/>
    <b v="1"/>
    <m/>
    <n v="0"/>
    <m/>
    <x v="0"/>
    <x v="0"/>
  </r>
  <r>
    <s v="PH-PRJ-049-02"/>
    <x v="48"/>
    <x v="1"/>
    <d v="2024-11-03T00:00:00"/>
    <d v="2024-12-24T00:00:00"/>
    <d v="2024-11-03T00:00:00"/>
    <d v="2024-12-24T00:00:00"/>
    <s v="Completed"/>
    <n v="100"/>
    <n v="21802241"/>
    <m/>
    <s v="2024-11-03T13:06:00"/>
    <s v="2024-11-03T13:06:00"/>
    <s v="system@alrashdeng.ae"/>
    <n v="1"/>
    <b v="1"/>
    <m/>
    <n v="0"/>
    <m/>
    <x v="0"/>
    <x v="0"/>
  </r>
  <r>
    <s v="PH-PRJ-049-03"/>
    <x v="48"/>
    <x v="2"/>
    <d v="2024-12-24T00:00:00"/>
    <d v="2025-02-23T00:00:00"/>
    <d v="2024-12-24T00:00:00"/>
    <d v="2025-02-23T00:00:00"/>
    <s v="Completed"/>
    <n v="100"/>
    <n v="26162689"/>
    <m/>
    <s v="2024-12-24T14:47:00"/>
    <s v="2024-12-24T14:47:00"/>
    <s v="system@alrashdeng.ae"/>
    <n v="1"/>
    <b v="1"/>
    <s v="Critical Phase"/>
    <n v="0"/>
    <m/>
    <x v="0"/>
    <x v="0"/>
  </r>
  <r>
    <s v="PH-PRJ-049-04"/>
    <x v="48"/>
    <x v="3"/>
    <d v="2025-02-23T00:00:00"/>
    <d v="2025-05-10T00:00:00"/>
    <d v="2025-02-23T00:00:00"/>
    <d v="2025-05-10T00:00:00"/>
    <s v="Completed"/>
    <n v="100"/>
    <n v="32703361"/>
    <m/>
    <s v="2025-02-23T16:59:00"/>
    <s v="2025-02-23T16:59:00"/>
    <s v="system@alrashdeng.ae"/>
    <n v="1"/>
    <b v="1"/>
    <m/>
    <n v="0"/>
    <m/>
    <x v="0"/>
    <x v="0"/>
  </r>
  <r>
    <s v="PH-PRJ-049-05"/>
    <x v="48"/>
    <x v="4"/>
    <d v="2025-05-10T00:00:00"/>
    <d v="2025-09-14T00:00:00"/>
    <d v="2025-05-10T00:00:00"/>
    <d v="2025-09-14T00:00:00"/>
    <s v="Completed"/>
    <n v="100"/>
    <n v="54505602"/>
    <m/>
    <s v="2025-05-10T15:06:00"/>
    <s v="2025-05-10T15:06:00"/>
    <s v="system@alrashdeng.ae"/>
    <n v="1"/>
    <b v="1"/>
    <s v="Critical Phase"/>
    <n v="0"/>
    <m/>
    <x v="0"/>
    <x v="0"/>
  </r>
  <r>
    <s v="PH-PRJ-049-06"/>
    <x v="48"/>
    <x v="5"/>
    <d v="2025-09-14T00:00:00"/>
    <d v="2025-11-04T00:00:00"/>
    <d v="2025-09-14T00:00:00"/>
    <d v="2025-11-04T00:00:00"/>
    <s v="Completed"/>
    <n v="100"/>
    <n v="21802241"/>
    <m/>
    <s v="2025-09-14T17:28:00"/>
    <s v="2025-09-14T17:28:00"/>
    <s v="system@alrashdeng.ae"/>
    <n v="1"/>
    <b v="1"/>
    <m/>
    <n v="0"/>
    <m/>
    <x v="0"/>
    <x v="0"/>
  </r>
  <r>
    <s v="PH-PRJ-049-07"/>
    <x v="48"/>
    <x v="6"/>
    <d v="2025-11-04T00:00:00"/>
    <d v="2025-12-14T00:00:00"/>
    <d v="2025-11-04T00:00:00"/>
    <d v="2025-12-14T00:00:00"/>
    <s v="Completed"/>
    <n v="100"/>
    <n v="17441792"/>
    <m/>
    <s v="2025-11-04T15:37:00"/>
    <s v="2025-11-04T15:37:00"/>
    <s v="system@alrashdeng.ae"/>
    <n v="1"/>
    <b v="1"/>
    <m/>
    <n v="0"/>
    <m/>
    <x v="0"/>
    <x v="0"/>
  </r>
  <r>
    <s v="PH-PRJ-049-08"/>
    <x v="48"/>
    <x v="7"/>
    <d v="2025-12-14T00:00:00"/>
    <d v="2026-02-03T00:00:00"/>
    <d v="2025-12-14T00:00:00"/>
    <d v="2026-02-03T00:00:00"/>
    <s v="Completed"/>
    <n v="100"/>
    <n v="21802241"/>
    <m/>
    <s v="2025-12-14T07:42:00"/>
    <s v="2025-12-14T07:42:00"/>
    <s v="system@alrashdeng.ae"/>
    <n v="1"/>
    <b v="1"/>
    <m/>
    <n v="0"/>
    <m/>
    <x v="0"/>
    <x v="0"/>
  </r>
  <r>
    <s v="PH-PRJ-049-09"/>
    <x v="48"/>
    <x v="8"/>
    <d v="2026-02-03T00:00:00"/>
    <d v="2026-02-18T00:00:00"/>
    <d v="2026-02-03T00:00:00"/>
    <d v="2026-02-18T00:00:00"/>
    <s v="Completed"/>
    <n v="100"/>
    <n v="6540672"/>
    <m/>
    <s v="2026-02-03T11:54:00"/>
    <s v="2026-02-03T11:54:00"/>
    <s v="system@alrashdeng.ae"/>
    <n v="1"/>
    <b v="1"/>
    <m/>
    <n v="0"/>
    <m/>
    <x v="0"/>
    <x v="0"/>
  </r>
  <r>
    <s v="PH-PRJ-049-10"/>
    <x v="48"/>
    <x v="9"/>
    <d v="2026-02-18T00:00:00"/>
    <d v="2026-02-28T00:00:00"/>
    <d v="2026-02-18T00:00:00"/>
    <d v="2026-02-28T00:00:00"/>
    <s v="Completed"/>
    <n v="100"/>
    <n v="4360448"/>
    <m/>
    <s v="2026-02-18T13:13:00"/>
    <s v="2026-02-18T13:13:00"/>
    <s v="system@alrashdeng.ae"/>
    <n v="1"/>
    <b v="1"/>
    <m/>
    <n v="0"/>
    <m/>
    <x v="0"/>
    <x v="0"/>
  </r>
  <r>
    <s v="PH-PRJ-050-01"/>
    <x v="49"/>
    <x v="0"/>
    <d v="2022-07-31T00:00:00"/>
    <d v="2022-08-31T00:00:00"/>
    <d v="2022-07-31T00:00:00"/>
    <d v="2022-08-31T00:00:00"/>
    <s v="Completed"/>
    <n v="100"/>
    <n v="20004696"/>
    <m/>
    <s v="2022-07-31T10:49:00"/>
    <s v="2022-07-31T10:49:00"/>
    <s v="system@alrashdeng.ae"/>
    <n v="1"/>
    <b v="1"/>
    <m/>
    <n v="0"/>
    <m/>
    <x v="0"/>
    <x v="0"/>
  </r>
  <r>
    <s v="PH-PRJ-050-02"/>
    <x v="49"/>
    <x v="1"/>
    <d v="2022-08-31T00:00:00"/>
    <d v="2022-11-02T00:00:00"/>
    <d v="2022-08-31T00:00:00"/>
    <d v="2022-11-02T00:00:00"/>
    <s v="Completed"/>
    <n v="100"/>
    <n v="40009393"/>
    <m/>
    <s v="2022-08-31T14:35:00"/>
    <s v="2022-08-31T14:35:00"/>
    <s v="system@alrashdeng.ae"/>
    <n v="1"/>
    <b v="1"/>
    <m/>
    <n v="0"/>
    <m/>
    <x v="0"/>
    <x v="0"/>
  </r>
  <r>
    <s v="PH-PRJ-050-03"/>
    <x v="49"/>
    <x v="2"/>
    <d v="2022-11-02T00:00:00"/>
    <d v="2023-01-16T00:00:00"/>
    <d v="2022-11-02T00:00:00"/>
    <d v="2023-01-16T00:00:00"/>
    <s v="Completed"/>
    <n v="100"/>
    <n v="48011272"/>
    <m/>
    <s v="2022-11-02T13:07:00"/>
    <s v="2022-11-02T13:07:00"/>
    <s v="system@alrashdeng.ae"/>
    <n v="1"/>
    <b v="1"/>
    <s v="Critical Phase"/>
    <n v="0"/>
    <m/>
    <x v="0"/>
    <x v="0"/>
  </r>
  <r>
    <s v="PH-PRJ-050-04"/>
    <x v="49"/>
    <x v="3"/>
    <d v="2023-01-16T00:00:00"/>
    <d v="2023-04-20T00:00:00"/>
    <d v="2023-01-16T00:00:00"/>
    <d v="2023-04-20T00:00:00"/>
    <s v="Completed"/>
    <n v="100"/>
    <n v="60014090"/>
    <m/>
    <s v="2023-01-16T10:54:00"/>
    <s v="2023-01-16T10:54:00"/>
    <s v="system@alrashdeng.ae"/>
    <n v="1"/>
    <b v="1"/>
    <m/>
    <n v="0"/>
    <m/>
    <x v="0"/>
    <x v="0"/>
  </r>
  <r>
    <s v="PH-PRJ-050-05"/>
    <x v="49"/>
    <x v="4"/>
    <d v="2023-04-20T00:00:00"/>
    <d v="2023-09-24T00:00:00"/>
    <d v="2023-04-20T00:00:00"/>
    <d v="2023-09-24T00:00:00"/>
    <s v="Completed"/>
    <n v="100"/>
    <n v="100023484"/>
    <m/>
    <s v="2023-04-20T14:07:00"/>
    <s v="2023-04-20T14:07:00"/>
    <s v="system@alrashdeng.ae"/>
    <n v="1"/>
    <b v="1"/>
    <s v="Critical Phase"/>
    <n v="0"/>
    <m/>
    <x v="0"/>
    <x v="0"/>
  </r>
  <r>
    <s v="PH-PRJ-050-06"/>
    <x v="49"/>
    <x v="5"/>
    <d v="2023-09-24T00:00:00"/>
    <d v="2023-11-26T00:00:00"/>
    <d v="2023-09-24T00:00:00"/>
    <d v="2023-11-26T00:00:00"/>
    <s v="Completed"/>
    <n v="100"/>
    <n v="40009393"/>
    <m/>
    <s v="2023-09-24T12:50:00"/>
    <s v="2023-09-24T12:50:00"/>
    <s v="system@alrashdeng.ae"/>
    <n v="1"/>
    <b v="1"/>
    <m/>
    <n v="0"/>
    <m/>
    <x v="0"/>
    <x v="0"/>
  </r>
  <r>
    <s v="PH-PRJ-050-07"/>
    <x v="49"/>
    <x v="6"/>
    <d v="2023-11-26T00:00:00"/>
    <d v="2024-01-15T00:00:00"/>
    <d v="2023-11-26T00:00:00"/>
    <d v="2024-01-15T00:00:00"/>
    <s v="Completed"/>
    <n v="100"/>
    <n v="32007515"/>
    <m/>
    <s v="2023-11-26T14:26:00"/>
    <s v="2023-11-26T14:26:00"/>
    <s v="system@alrashdeng.ae"/>
    <n v="1"/>
    <b v="1"/>
    <m/>
    <n v="0"/>
    <m/>
    <x v="0"/>
    <x v="0"/>
  </r>
  <r>
    <s v="PH-PRJ-050-08"/>
    <x v="49"/>
    <x v="7"/>
    <d v="2024-01-15T00:00:00"/>
    <d v="2024-03-18T00:00:00"/>
    <d v="2024-01-15T00:00:00"/>
    <d v="2024-03-18T00:00:00"/>
    <s v="Completed"/>
    <n v="100"/>
    <n v="40009393"/>
    <m/>
    <s v="2024-01-15T17:45:00"/>
    <s v="2024-01-15T17:45:00"/>
    <s v="system@alrashdeng.ae"/>
    <n v="1"/>
    <b v="1"/>
    <m/>
    <n v="0"/>
    <m/>
    <x v="0"/>
    <x v="0"/>
  </r>
  <r>
    <s v="PH-PRJ-050-09"/>
    <x v="49"/>
    <x v="8"/>
    <d v="2024-03-18T00:00:00"/>
    <d v="2024-04-05T00:00:00"/>
    <d v="2024-03-18T00:00:00"/>
    <d v="2024-04-05T00:00:00"/>
    <s v="Completed"/>
    <n v="100"/>
    <n v="12002818"/>
    <m/>
    <s v="2024-03-18T13:00:00"/>
    <s v="2024-03-18T13:00:00"/>
    <s v="system@alrashdeng.ae"/>
    <n v="1"/>
    <b v="1"/>
    <m/>
    <n v="0"/>
    <m/>
    <x v="0"/>
    <x v="0"/>
  </r>
  <r>
    <s v="PH-PRJ-050-10"/>
    <x v="49"/>
    <x v="9"/>
    <d v="2024-04-05T00:00:00"/>
    <d v="2024-04-17T00:00:00"/>
    <d v="2024-04-05T00:00:00"/>
    <d v="2024-04-17T00:00:00"/>
    <s v="Completed"/>
    <n v="100"/>
    <n v="8001878"/>
    <m/>
    <s v="2024-04-05T12:50:00"/>
    <s v="2024-04-05T12:50:00"/>
    <s v="system@alrashdeng.ae"/>
    <n v="1"/>
    <b v="1"/>
    <m/>
    <n v="0"/>
    <m/>
    <x v="0"/>
    <x v="0"/>
  </r>
  <r>
    <s v="PH-PRJ-051-01"/>
    <x v="50"/>
    <x v="0"/>
    <d v="2020-06-05T00:00:00"/>
    <d v="2020-07-27T00:00:00"/>
    <d v="2020-06-05T00:00:00"/>
    <d v="2020-07-27T00:00:00"/>
    <s v="Completed"/>
    <n v="100"/>
    <n v="10667795"/>
    <m/>
    <s v="2020-06-05T10:32:00"/>
    <s v="2020-06-05T10:32:00"/>
    <s v="system@alrashdeng.ae"/>
    <n v="1"/>
    <b v="1"/>
    <m/>
    <n v="0"/>
    <m/>
    <x v="0"/>
    <x v="0"/>
  </r>
  <r>
    <s v="PH-PRJ-051-02"/>
    <x v="50"/>
    <x v="1"/>
    <d v="2020-07-27T00:00:00"/>
    <d v="2020-11-09T00:00:00"/>
    <d v="2020-07-27T00:00:00"/>
    <d v="2020-11-09T00:00:00"/>
    <s v="Completed"/>
    <n v="100"/>
    <n v="21335590"/>
    <m/>
    <s v="2020-07-27T11:17:00"/>
    <s v="2020-07-27T11:17:00"/>
    <s v="system@alrashdeng.ae"/>
    <n v="1"/>
    <b v="1"/>
    <m/>
    <n v="0"/>
    <m/>
    <x v="0"/>
    <x v="0"/>
  </r>
  <r>
    <s v="PH-PRJ-051-03"/>
    <x v="50"/>
    <x v="2"/>
    <d v="2020-11-09T00:00:00"/>
    <d v="2021-03-15T00:00:00"/>
    <d v="2020-11-09T00:00:00"/>
    <d v="2021-03-15T00:00:00"/>
    <s v="Completed"/>
    <n v="100"/>
    <n v="25602708"/>
    <m/>
    <s v="2020-11-09T17:16:00"/>
    <s v="2020-11-09T17:16:00"/>
    <s v="system@alrashdeng.ae"/>
    <n v="1"/>
    <b v="1"/>
    <s v="Critical Phase"/>
    <n v="0"/>
    <m/>
    <x v="0"/>
    <x v="0"/>
  </r>
  <r>
    <s v="PH-PRJ-051-04"/>
    <x v="50"/>
    <x v="3"/>
    <d v="2021-03-15T00:00:00"/>
    <d v="2021-08-19T00:00:00"/>
    <d v="2021-03-15T00:00:00"/>
    <d v="2021-08-19T00:00:00"/>
    <s v="Completed"/>
    <n v="100"/>
    <n v="32003385"/>
    <m/>
    <s v="2021-03-15T11:53:00"/>
    <s v="2021-03-15T11:53:00"/>
    <s v="system@alrashdeng.ae"/>
    <n v="1"/>
    <b v="1"/>
    <m/>
    <n v="0"/>
    <m/>
    <x v="0"/>
    <x v="0"/>
  </r>
  <r>
    <s v="PH-PRJ-051-05"/>
    <x v="50"/>
    <x v="4"/>
    <d v="2021-08-19T00:00:00"/>
    <d v="2022-05-08T00:00:00"/>
    <d v="2021-08-19T00:00:00"/>
    <d v="2022-05-08T00:00:00"/>
    <s v="Completed"/>
    <n v="100"/>
    <n v="53338975"/>
    <m/>
    <s v="2021-08-19T13:43:00"/>
    <s v="2021-08-19T13:43:00"/>
    <s v="system@alrashdeng.ae"/>
    <n v="1"/>
    <b v="1"/>
    <s v="Critical Phase"/>
    <n v="0"/>
    <m/>
    <x v="0"/>
    <x v="0"/>
  </r>
  <r>
    <s v="PH-PRJ-051-06"/>
    <x v="50"/>
    <x v="5"/>
    <d v="2022-05-08T00:00:00"/>
    <d v="2022-08-21T00:00:00"/>
    <d v="2022-05-08T00:00:00"/>
    <d v="2022-08-21T00:00:00"/>
    <s v="Completed"/>
    <n v="100"/>
    <n v="21335590"/>
    <m/>
    <s v="2022-05-08T10:00:00"/>
    <s v="2022-05-08T10:00:00"/>
    <s v="system@alrashdeng.ae"/>
    <n v="1"/>
    <b v="1"/>
    <m/>
    <n v="0"/>
    <m/>
    <x v="0"/>
    <x v="0"/>
  </r>
  <r>
    <s v="PH-PRJ-051-07"/>
    <x v="50"/>
    <x v="6"/>
    <d v="2022-08-21T00:00:00"/>
    <d v="2022-11-13T00:00:00"/>
    <d v="2022-08-21T00:00:00"/>
    <d v="2022-11-13T00:00:00"/>
    <s v="Completed"/>
    <n v="100"/>
    <n v="17068472"/>
    <m/>
    <s v="2022-08-21T13:02:00"/>
    <s v="2022-08-21T13:02:00"/>
    <s v="system@alrashdeng.ae"/>
    <n v="1"/>
    <b v="1"/>
    <m/>
    <n v="0"/>
    <m/>
    <x v="0"/>
    <x v="0"/>
  </r>
  <r>
    <s v="PH-PRJ-051-08"/>
    <x v="50"/>
    <x v="7"/>
    <d v="2022-11-13T00:00:00"/>
    <d v="2023-02-26T00:00:00"/>
    <d v="2022-11-13T00:00:00"/>
    <d v="2023-02-26T00:00:00"/>
    <s v="Completed"/>
    <n v="100"/>
    <n v="21335590"/>
    <m/>
    <s v="2022-11-13T07:01:00"/>
    <s v="2022-11-13T07:01:00"/>
    <s v="system@alrashdeng.ae"/>
    <n v="1"/>
    <b v="1"/>
    <m/>
    <n v="0"/>
    <m/>
    <x v="0"/>
    <x v="0"/>
  </r>
  <r>
    <s v="PH-PRJ-051-09"/>
    <x v="50"/>
    <x v="8"/>
    <d v="2023-02-26T00:00:00"/>
    <d v="2023-03-29T00:00:00"/>
    <d v="2023-02-26T00:00:00"/>
    <d v="2023-03-29T00:00:00"/>
    <s v="Completed"/>
    <n v="100"/>
    <n v="6400677"/>
    <m/>
    <s v="2023-02-26T09:50:00"/>
    <s v="2023-02-26T09:50:00"/>
    <s v="system@alrashdeng.ae"/>
    <n v="1"/>
    <b v="1"/>
    <m/>
    <n v="0"/>
    <m/>
    <x v="0"/>
    <x v="0"/>
  </r>
  <r>
    <s v="PH-PRJ-051-10"/>
    <x v="50"/>
    <x v="9"/>
    <d v="2023-03-29T00:00:00"/>
    <d v="2023-04-19T00:00:00"/>
    <d v="2023-03-29T00:00:00"/>
    <d v="2023-04-19T00:00:00"/>
    <s v="Completed"/>
    <n v="100"/>
    <n v="4267118"/>
    <m/>
    <s v="2023-03-29T12:53:00"/>
    <s v="2023-03-29T12:53:00"/>
    <s v="system@alrashdeng.ae"/>
    <n v="1"/>
    <b v="1"/>
    <m/>
    <n v="0"/>
    <m/>
    <x v="0"/>
    <x v="0"/>
  </r>
  <r>
    <s v="PH-PRJ-052-01"/>
    <x v="51"/>
    <x v="0"/>
    <d v="2024-11-20T00:00:00"/>
    <d v="2025-01-31T00:00:00"/>
    <d v="2024-11-20T00:00:00"/>
    <d v="2025-01-31T00:00:00"/>
    <s v="Completed"/>
    <n v="100"/>
    <n v="4916745"/>
    <m/>
    <s v="2024-11-20T15:52:00"/>
    <s v="2024-11-20T15:52:00"/>
    <s v="system@alrashdeng.ae"/>
    <n v="1"/>
    <b v="1"/>
    <m/>
    <n v="0"/>
    <m/>
    <x v="0"/>
    <x v="0"/>
  </r>
  <r>
    <s v="PH-PRJ-052-02"/>
    <x v="51"/>
    <x v="1"/>
    <d v="2025-01-31T00:00:00"/>
    <d v="2025-06-24T00:00:00"/>
    <d v="2025-01-31T00:00:00"/>
    <d v="2025-06-24T00:00:00"/>
    <s v="Completed"/>
    <n v="100"/>
    <n v="9833491"/>
    <m/>
    <s v="2025-01-31T16:20:00"/>
    <s v="2025-01-31T16:20:00"/>
    <s v="system@alrashdeng.ae"/>
    <n v="1"/>
    <b v="1"/>
    <m/>
    <n v="0"/>
    <m/>
    <x v="0"/>
    <x v="0"/>
  </r>
  <r>
    <s v="PH-PRJ-052-03"/>
    <x v="51"/>
    <x v="2"/>
    <d v="2025-06-24T00:00:00"/>
    <d v="2025-12-13T00:00:00"/>
    <d v="2025-06-24T00:00:00"/>
    <d v="2025-12-13T00:00:00"/>
    <s v="Completed"/>
    <n v="100"/>
    <n v="11800189"/>
    <m/>
    <s v="2025-06-24T12:10:00"/>
    <s v="2025-06-24T12:10:00"/>
    <s v="system@alrashdeng.ae"/>
    <n v="1"/>
    <b v="1"/>
    <s v="Critical Phase"/>
    <n v="0"/>
    <m/>
    <x v="0"/>
    <x v="0"/>
  </r>
  <r>
    <s v="PH-PRJ-052-04"/>
    <x v="51"/>
    <x v="3"/>
    <d v="2025-12-13T00:00:00"/>
    <d v="2026-07-17T00:00:00"/>
    <d v="2025-12-13T00:00:00"/>
    <m/>
    <s v="In Progress"/>
    <n v="75"/>
    <n v="14750236"/>
    <m/>
    <s v="2025-12-13T10:35:00"/>
    <s v="2025-12-13T10:35:00"/>
    <s v="system@alrashdeng.ae"/>
    <n v="1"/>
    <b v="1"/>
    <m/>
    <m/>
    <n v="74"/>
    <x v="1"/>
    <x v="30"/>
  </r>
  <r>
    <s v="PH-PRJ-052-05"/>
    <x v="51"/>
    <x v="4"/>
    <d v="2026-07-17T00:00:00"/>
    <d v="2027-07-12T00:00:00"/>
    <m/>
    <m/>
    <s v="Not Started"/>
    <n v="0"/>
    <n v="24583727"/>
    <m/>
    <s v="2026-07-17T13:12:00"/>
    <s v="2026-07-17T13:12:00"/>
    <s v="system@alrashdeng.ae"/>
    <n v="1"/>
    <b v="1"/>
    <s v="Critical Phase"/>
    <m/>
    <n v="-286"/>
    <x v="0"/>
    <x v="0"/>
  </r>
  <r>
    <s v="PH-PRJ-052-06"/>
    <x v="51"/>
    <x v="5"/>
    <d v="2027-07-12T00:00:00"/>
    <d v="2027-12-03T00:00:00"/>
    <m/>
    <m/>
    <s v="Not Started"/>
    <n v="0"/>
    <n v="9833491"/>
    <m/>
    <s v="2027-07-12T16:41:00"/>
    <s v="2027-07-12T16:41:00"/>
    <s v="system@alrashdeng.ae"/>
    <n v="1"/>
    <b v="1"/>
    <m/>
    <m/>
    <n v="-430"/>
    <x v="0"/>
    <x v="0"/>
  </r>
  <r>
    <s v="PH-PRJ-052-07"/>
    <x v="51"/>
    <x v="6"/>
    <d v="2027-12-03T00:00:00"/>
    <d v="2028-03-27T00:00:00"/>
    <m/>
    <m/>
    <s v="Not Started"/>
    <n v="0"/>
    <n v="7866792"/>
    <m/>
    <s v="2027-12-03T13:53:00"/>
    <s v="2027-12-03T13:53:00"/>
    <s v="system@alrashdeng.ae"/>
    <n v="1"/>
    <b v="1"/>
    <m/>
    <m/>
    <n v="-545"/>
    <x v="0"/>
    <x v="0"/>
  </r>
  <r>
    <s v="PH-PRJ-052-08"/>
    <x v="51"/>
    <x v="7"/>
    <d v="2028-03-27T00:00:00"/>
    <d v="2028-08-18T00:00:00"/>
    <m/>
    <m/>
    <s v="Not Started"/>
    <n v="0"/>
    <n v="9833491"/>
    <m/>
    <s v="2028-03-27T07:51:00"/>
    <s v="2028-03-27T07:51:00"/>
    <s v="system@alrashdeng.ae"/>
    <n v="1"/>
    <b v="1"/>
    <m/>
    <m/>
    <n v="-689"/>
    <x v="0"/>
    <x v="0"/>
  </r>
  <r>
    <s v="PH-PRJ-052-09"/>
    <x v="51"/>
    <x v="8"/>
    <d v="2028-08-18T00:00:00"/>
    <d v="2028-09-30T00:00:00"/>
    <m/>
    <m/>
    <s v="Not Started"/>
    <n v="0"/>
    <n v="2950047"/>
    <m/>
    <s v="2028-08-18T16:27:00"/>
    <s v="2028-08-18T16:27:00"/>
    <s v="system@alrashdeng.ae"/>
    <n v="1"/>
    <b v="1"/>
    <m/>
    <m/>
    <n v="-732"/>
    <x v="0"/>
    <x v="0"/>
  </r>
  <r>
    <s v="PH-PRJ-052-10"/>
    <x v="51"/>
    <x v="9"/>
    <d v="2028-09-30T00:00:00"/>
    <d v="2028-10-28T00:00:00"/>
    <m/>
    <m/>
    <s v="Not Started"/>
    <n v="0"/>
    <n v="1966698"/>
    <m/>
    <s v="2028-09-30T09:40:00"/>
    <s v="2028-09-30T09:40:00"/>
    <s v="system@alrashdeng.ae"/>
    <n v="1"/>
    <b v="1"/>
    <m/>
    <m/>
    <n v="-760"/>
    <x v="0"/>
    <x v="0"/>
  </r>
  <r>
    <s v="PH-PRJ-053-01"/>
    <x v="52"/>
    <x v="0"/>
    <d v="2023-11-13T00:00:00"/>
    <d v="2024-01-15T00:00:00"/>
    <d v="2023-11-13T00:00:00"/>
    <d v="2024-01-15T00:00:00"/>
    <s v="Completed"/>
    <n v="100"/>
    <n v="24064840"/>
    <m/>
    <s v="2023-11-13T13:46:00"/>
    <s v="2023-11-13T13:46:00"/>
    <s v="system@alrashdeng.ae"/>
    <n v="1"/>
    <b v="1"/>
    <m/>
    <n v="0"/>
    <m/>
    <x v="0"/>
    <x v="0"/>
  </r>
  <r>
    <s v="PH-PRJ-053-02"/>
    <x v="52"/>
    <x v="1"/>
    <d v="2024-01-15T00:00:00"/>
    <d v="2024-05-20T00:00:00"/>
    <d v="2024-01-15T00:00:00"/>
    <d v="2024-05-20T00:00:00"/>
    <s v="Completed"/>
    <n v="100"/>
    <n v="48129680"/>
    <m/>
    <s v="2024-01-15T09:25:00"/>
    <s v="2024-01-15T09:25:00"/>
    <s v="system@alrashdeng.ae"/>
    <n v="1"/>
    <b v="1"/>
    <m/>
    <n v="0"/>
    <m/>
    <x v="0"/>
    <x v="0"/>
  </r>
  <r>
    <s v="PH-PRJ-053-03"/>
    <x v="52"/>
    <x v="2"/>
    <d v="2024-05-20T00:00:00"/>
    <d v="2024-10-18T00:00:00"/>
    <d v="2024-05-20T00:00:00"/>
    <d v="2024-10-18T00:00:00"/>
    <s v="Completed"/>
    <n v="100"/>
    <n v="57755616"/>
    <m/>
    <s v="2024-05-20T12:33:00"/>
    <s v="2024-05-20T12:33:00"/>
    <s v="system@alrashdeng.ae"/>
    <n v="1"/>
    <b v="1"/>
    <s v="Critical Phase"/>
    <n v="0"/>
    <m/>
    <x v="0"/>
    <x v="0"/>
  </r>
  <r>
    <s v="PH-PRJ-053-04"/>
    <x v="52"/>
    <x v="3"/>
    <d v="2024-10-18T00:00:00"/>
    <d v="2025-04-25T00:00:00"/>
    <d v="2024-10-18T00:00:00"/>
    <d v="2025-04-25T00:00:00"/>
    <s v="Completed"/>
    <n v="100"/>
    <n v="72194521"/>
    <m/>
    <s v="2024-10-18T09:27:00"/>
    <s v="2024-10-18T09:27:00"/>
    <s v="system@alrashdeng.ae"/>
    <n v="1"/>
    <b v="1"/>
    <m/>
    <n v="0"/>
    <m/>
    <x v="0"/>
    <x v="0"/>
  </r>
  <r>
    <s v="PH-PRJ-053-05"/>
    <x v="52"/>
    <x v="4"/>
    <d v="2025-04-25T00:00:00"/>
    <d v="2026-03-06T00:00:00"/>
    <d v="2025-04-25T00:00:00"/>
    <m/>
    <s v="In Progress"/>
    <n v="49"/>
    <n v="120324202"/>
    <m/>
    <s v="2025-04-25T08:45:00"/>
    <s v="2025-04-25T08:45:00"/>
    <s v="system@alrashdeng.ae"/>
    <n v="1"/>
    <b v="1"/>
    <s v="Critical Phase"/>
    <m/>
    <n v="207"/>
    <x v="1"/>
    <x v="31"/>
  </r>
  <r>
    <s v="PH-PRJ-053-06"/>
    <x v="52"/>
    <x v="5"/>
    <d v="2026-03-06T00:00:00"/>
    <d v="2026-07-10T00:00:00"/>
    <m/>
    <m/>
    <s v="Not Started"/>
    <n v="0"/>
    <n v="48129680"/>
    <m/>
    <s v="2026-03-06T09:32:00"/>
    <s v="2026-03-06T09:32:00"/>
    <s v="system@alrashdeng.ae"/>
    <n v="1"/>
    <b v="1"/>
    <m/>
    <m/>
    <n v="81"/>
    <x v="1"/>
    <x v="32"/>
  </r>
  <r>
    <s v="PH-PRJ-053-07"/>
    <x v="52"/>
    <x v="6"/>
    <d v="2026-07-10T00:00:00"/>
    <d v="2026-10-18T00:00:00"/>
    <m/>
    <m/>
    <s v="Not Started"/>
    <n v="0"/>
    <n v="38503744"/>
    <m/>
    <s v="2026-07-10T08:40:00"/>
    <s v="2026-07-10T08:40:00"/>
    <s v="system@alrashdeng.ae"/>
    <n v="1"/>
    <b v="1"/>
    <m/>
    <m/>
    <n v="-19"/>
    <x v="0"/>
    <x v="0"/>
  </r>
  <r>
    <s v="PH-PRJ-053-08"/>
    <x v="52"/>
    <x v="7"/>
    <d v="2026-10-18T00:00:00"/>
    <d v="2027-02-21T00:00:00"/>
    <m/>
    <m/>
    <s v="Not Started"/>
    <n v="0"/>
    <n v="48129680"/>
    <m/>
    <s v="2026-10-18T16:50:00"/>
    <s v="2026-10-18T16:50:00"/>
    <s v="system@alrashdeng.ae"/>
    <n v="1"/>
    <b v="1"/>
    <m/>
    <m/>
    <n v="-145"/>
    <x v="0"/>
    <x v="0"/>
  </r>
  <r>
    <s v="PH-PRJ-053-09"/>
    <x v="52"/>
    <x v="8"/>
    <d v="2027-02-21T00:00:00"/>
    <d v="2027-03-30T00:00:00"/>
    <m/>
    <m/>
    <s v="Not Started"/>
    <n v="0"/>
    <n v="14438904"/>
    <m/>
    <s v="2027-02-21T13:53:00"/>
    <s v="2027-02-21T13:53:00"/>
    <s v="system@alrashdeng.ae"/>
    <n v="1"/>
    <b v="1"/>
    <m/>
    <m/>
    <n v="-182"/>
    <x v="0"/>
    <x v="0"/>
  </r>
  <r>
    <s v="PH-PRJ-053-10"/>
    <x v="52"/>
    <x v="9"/>
    <d v="2027-03-30T00:00:00"/>
    <d v="2027-04-24T00:00:00"/>
    <m/>
    <m/>
    <s v="Not Started"/>
    <n v="0"/>
    <n v="9625936"/>
    <m/>
    <s v="2027-03-30T17:58:00"/>
    <s v="2027-03-30T17:58:00"/>
    <s v="system@alrashdeng.ae"/>
    <n v="1"/>
    <b v="1"/>
    <m/>
    <m/>
    <n v="-207"/>
    <x v="0"/>
    <x v="0"/>
  </r>
  <r>
    <s v="PH-PRJ-054-01"/>
    <x v="53"/>
    <x v="0"/>
    <d v="2022-09-20T00:00:00"/>
    <d v="2022-10-18T00:00:00"/>
    <d v="2022-09-20T00:00:00"/>
    <d v="2022-10-18T00:00:00"/>
    <s v="Completed"/>
    <n v="100"/>
    <n v="17996526"/>
    <m/>
    <s v="2022-09-20T11:53:00"/>
    <s v="2022-09-20T11:53:00"/>
    <s v="system@alrashdeng.ae"/>
    <n v="1"/>
    <b v="1"/>
    <m/>
    <n v="0"/>
    <m/>
    <x v="0"/>
    <x v="0"/>
  </r>
  <r>
    <s v="PH-PRJ-054-02"/>
    <x v="53"/>
    <x v="1"/>
    <d v="2022-10-18T00:00:00"/>
    <d v="2022-12-14T00:00:00"/>
    <d v="2022-10-18T00:00:00"/>
    <d v="2022-12-14T00:00:00"/>
    <s v="Completed"/>
    <n v="100"/>
    <n v="35993053"/>
    <m/>
    <s v="2022-10-18T15:10:00"/>
    <s v="2022-10-18T15:10:00"/>
    <s v="system@alrashdeng.ae"/>
    <n v="1"/>
    <b v="1"/>
    <m/>
    <n v="0"/>
    <m/>
    <x v="0"/>
    <x v="0"/>
  </r>
  <r>
    <s v="PH-PRJ-054-03"/>
    <x v="53"/>
    <x v="2"/>
    <d v="2022-12-14T00:00:00"/>
    <d v="2023-02-20T00:00:00"/>
    <d v="2022-12-14T00:00:00"/>
    <d v="2023-02-20T00:00:00"/>
    <s v="Completed"/>
    <n v="100"/>
    <n v="43191664"/>
    <m/>
    <s v="2022-12-14T12:13:00"/>
    <s v="2022-12-14T12:13:00"/>
    <s v="system@alrashdeng.ae"/>
    <n v="1"/>
    <b v="1"/>
    <s v="Critical Phase"/>
    <n v="0"/>
    <m/>
    <x v="0"/>
    <x v="0"/>
  </r>
  <r>
    <s v="PH-PRJ-054-04"/>
    <x v="53"/>
    <x v="3"/>
    <d v="2023-02-20T00:00:00"/>
    <d v="2023-05-16T00:00:00"/>
    <d v="2023-02-20T00:00:00"/>
    <d v="2023-05-16T00:00:00"/>
    <s v="Completed"/>
    <n v="100"/>
    <n v="53989580"/>
    <m/>
    <s v="2023-02-20T08:05:00"/>
    <s v="2023-02-20T08:05:00"/>
    <s v="system@alrashdeng.ae"/>
    <n v="1"/>
    <b v="1"/>
    <m/>
    <n v="0"/>
    <m/>
    <x v="0"/>
    <x v="0"/>
  </r>
  <r>
    <s v="PH-PRJ-054-05"/>
    <x v="53"/>
    <x v="4"/>
    <d v="2023-05-16T00:00:00"/>
    <d v="2023-10-05T00:00:00"/>
    <d v="2023-05-16T00:00:00"/>
    <d v="2023-10-05T00:00:00"/>
    <s v="Completed"/>
    <n v="100"/>
    <n v="89982634"/>
    <m/>
    <s v="2023-05-16T07:27:00"/>
    <s v="2023-05-16T07:27:00"/>
    <s v="system@alrashdeng.ae"/>
    <n v="1"/>
    <b v="1"/>
    <s v="Critical Phase"/>
    <n v="0"/>
    <m/>
    <x v="0"/>
    <x v="0"/>
  </r>
  <r>
    <s v="PH-PRJ-054-06"/>
    <x v="53"/>
    <x v="5"/>
    <d v="2023-10-05T00:00:00"/>
    <d v="2023-12-01T00:00:00"/>
    <d v="2023-10-05T00:00:00"/>
    <d v="2023-12-01T00:00:00"/>
    <s v="Completed"/>
    <n v="100"/>
    <n v="35993053"/>
    <m/>
    <s v="2023-10-05T07:40:00"/>
    <s v="2023-10-05T07:40:00"/>
    <s v="system@alrashdeng.ae"/>
    <n v="1"/>
    <b v="1"/>
    <m/>
    <n v="0"/>
    <m/>
    <x v="0"/>
    <x v="0"/>
  </r>
  <r>
    <s v="PH-PRJ-054-07"/>
    <x v="53"/>
    <x v="6"/>
    <d v="2023-12-01T00:00:00"/>
    <d v="2024-01-15T00:00:00"/>
    <d v="2023-12-01T00:00:00"/>
    <d v="2024-01-15T00:00:00"/>
    <s v="Completed"/>
    <n v="100"/>
    <n v="28794443"/>
    <m/>
    <s v="2023-12-01T16:09:00"/>
    <s v="2023-12-01T16:09:00"/>
    <s v="system@alrashdeng.ae"/>
    <n v="1"/>
    <b v="1"/>
    <m/>
    <n v="0"/>
    <m/>
    <x v="0"/>
    <x v="0"/>
  </r>
  <r>
    <s v="PH-PRJ-054-08"/>
    <x v="53"/>
    <x v="7"/>
    <d v="2024-01-15T00:00:00"/>
    <d v="2024-03-12T00:00:00"/>
    <d v="2024-01-15T00:00:00"/>
    <d v="2024-03-12T00:00:00"/>
    <s v="Completed"/>
    <n v="100"/>
    <n v="35993053"/>
    <m/>
    <s v="2024-01-15T07:39:00"/>
    <s v="2024-01-15T07:39:00"/>
    <s v="system@alrashdeng.ae"/>
    <n v="1"/>
    <b v="1"/>
    <m/>
    <n v="0"/>
    <m/>
    <x v="0"/>
    <x v="0"/>
  </r>
  <r>
    <s v="PH-PRJ-054-09"/>
    <x v="53"/>
    <x v="8"/>
    <d v="2024-03-12T00:00:00"/>
    <d v="2024-03-29T00:00:00"/>
    <d v="2024-03-12T00:00:00"/>
    <d v="2024-03-29T00:00:00"/>
    <s v="Completed"/>
    <n v="100"/>
    <n v="10797916"/>
    <m/>
    <s v="2024-03-12T15:58:00"/>
    <s v="2024-03-12T15:58:00"/>
    <s v="system@alrashdeng.ae"/>
    <n v="1"/>
    <b v="1"/>
    <m/>
    <n v="0"/>
    <m/>
    <x v="0"/>
    <x v="0"/>
  </r>
  <r>
    <s v="PH-PRJ-054-10"/>
    <x v="53"/>
    <x v="9"/>
    <d v="2024-03-29T00:00:00"/>
    <d v="2024-04-09T00:00:00"/>
    <d v="2024-03-29T00:00:00"/>
    <d v="2024-04-09T00:00:00"/>
    <s v="Completed"/>
    <n v="100"/>
    <n v="7198610"/>
    <m/>
    <s v="2024-03-29T08:36:00"/>
    <s v="2024-03-29T08:36:00"/>
    <s v="system@alrashdeng.ae"/>
    <n v="1"/>
    <b v="1"/>
    <m/>
    <n v="0"/>
    <m/>
    <x v="0"/>
    <x v="0"/>
  </r>
  <r>
    <s v="PH-PRJ-055-01"/>
    <x v="54"/>
    <x v="0"/>
    <d v="2024-11-16T00:00:00"/>
    <d v="2024-12-07T00:00:00"/>
    <d v="2024-11-16T00:00:00"/>
    <d v="2024-12-07T00:00:00"/>
    <s v="Completed"/>
    <n v="100"/>
    <n v="3682889"/>
    <m/>
    <s v="2024-11-16T13:01:00"/>
    <s v="2024-11-16T13:01:00"/>
    <s v="system@alrashdeng.ae"/>
    <n v="1"/>
    <b v="1"/>
    <m/>
    <n v="0"/>
    <m/>
    <x v="0"/>
    <x v="0"/>
  </r>
  <r>
    <s v="PH-PRJ-055-02"/>
    <x v="54"/>
    <x v="1"/>
    <d v="2024-12-07T00:00:00"/>
    <d v="2025-01-18T00:00:00"/>
    <d v="2024-12-07T00:00:00"/>
    <d v="2025-01-18T00:00:00"/>
    <s v="Completed"/>
    <n v="100"/>
    <n v="7365779"/>
    <m/>
    <s v="2024-12-07T09:29:00"/>
    <s v="2024-12-07T09:29:00"/>
    <s v="system@alrashdeng.ae"/>
    <n v="1"/>
    <b v="1"/>
    <m/>
    <n v="0"/>
    <m/>
    <x v="0"/>
    <x v="0"/>
  </r>
  <r>
    <s v="PH-PRJ-055-03"/>
    <x v="54"/>
    <x v="2"/>
    <d v="2025-01-18T00:00:00"/>
    <d v="2025-03-09T00:00:00"/>
    <d v="2025-01-18T00:00:00"/>
    <d v="2025-03-09T00:00:00"/>
    <s v="Completed"/>
    <n v="100"/>
    <n v="8838935"/>
    <m/>
    <s v="2025-01-18T17:40:00"/>
    <s v="2025-01-18T17:40:00"/>
    <s v="system@alrashdeng.ae"/>
    <n v="1"/>
    <b v="1"/>
    <s v="Critical Phase"/>
    <n v="0"/>
    <m/>
    <x v="0"/>
    <x v="0"/>
  </r>
  <r>
    <s v="PH-PRJ-055-04"/>
    <x v="54"/>
    <x v="3"/>
    <d v="2025-03-09T00:00:00"/>
    <d v="2025-05-11T00:00:00"/>
    <d v="2025-03-09T00:00:00"/>
    <d v="2025-05-11T00:00:00"/>
    <s v="Completed"/>
    <n v="100"/>
    <n v="11048669"/>
    <m/>
    <s v="2025-03-09T12:11:00"/>
    <s v="2025-03-09T12:11:00"/>
    <s v="system@alrashdeng.ae"/>
    <n v="1"/>
    <b v="1"/>
    <m/>
    <n v="0"/>
    <m/>
    <x v="0"/>
    <x v="0"/>
  </r>
  <r>
    <s v="PH-PRJ-055-05"/>
    <x v="54"/>
    <x v="4"/>
    <d v="2025-05-11T00:00:00"/>
    <d v="2025-08-24T00:00:00"/>
    <d v="2025-05-11T00:00:00"/>
    <d v="2025-08-24T00:00:00"/>
    <s v="Completed"/>
    <n v="100"/>
    <n v="18414449"/>
    <m/>
    <s v="2025-05-11T10:41:00"/>
    <s v="2025-05-11T10:41:00"/>
    <s v="system@alrashdeng.ae"/>
    <n v="1"/>
    <b v="1"/>
    <s v="Critical Phase"/>
    <n v="0"/>
    <m/>
    <x v="0"/>
    <x v="0"/>
  </r>
  <r>
    <s v="PH-PRJ-055-06"/>
    <x v="54"/>
    <x v="5"/>
    <d v="2025-08-24T00:00:00"/>
    <d v="2025-10-05T00:00:00"/>
    <d v="2025-08-24T00:00:00"/>
    <d v="2025-10-05T00:00:00"/>
    <s v="Completed"/>
    <n v="100"/>
    <n v="7365779"/>
    <m/>
    <s v="2025-08-24T10:19:00"/>
    <s v="2025-08-24T10:19:00"/>
    <s v="system@alrashdeng.ae"/>
    <n v="1"/>
    <b v="1"/>
    <m/>
    <n v="0"/>
    <m/>
    <x v="0"/>
    <x v="0"/>
  </r>
  <r>
    <s v="PH-PRJ-055-07"/>
    <x v="54"/>
    <x v="6"/>
    <d v="2025-10-05T00:00:00"/>
    <d v="2025-11-07T00:00:00"/>
    <d v="2025-10-05T00:00:00"/>
    <d v="2025-11-07T00:00:00"/>
    <s v="Completed"/>
    <n v="100"/>
    <n v="5892623"/>
    <m/>
    <s v="2025-10-05T10:34:00"/>
    <s v="2025-10-05T10:34:00"/>
    <s v="system@alrashdeng.ae"/>
    <n v="1"/>
    <b v="1"/>
    <m/>
    <n v="0"/>
    <m/>
    <x v="0"/>
    <x v="0"/>
  </r>
  <r>
    <s v="PH-PRJ-055-08"/>
    <x v="54"/>
    <x v="7"/>
    <d v="2025-11-07T00:00:00"/>
    <d v="2025-12-19T00:00:00"/>
    <d v="2025-11-07T00:00:00"/>
    <d v="2025-12-19T00:00:00"/>
    <s v="Completed"/>
    <n v="100"/>
    <n v="7365779"/>
    <m/>
    <s v="2025-11-07T10:46:00"/>
    <s v="2025-11-07T10:46:00"/>
    <s v="system@alrashdeng.ae"/>
    <n v="1"/>
    <b v="1"/>
    <m/>
    <n v="0"/>
    <m/>
    <x v="0"/>
    <x v="0"/>
  </r>
  <r>
    <s v="PH-PRJ-055-09"/>
    <x v="54"/>
    <x v="8"/>
    <d v="2025-12-19T00:00:00"/>
    <d v="2025-12-31T00:00:00"/>
    <d v="2025-12-19T00:00:00"/>
    <d v="2025-12-31T00:00:00"/>
    <s v="Completed"/>
    <n v="100"/>
    <n v="2209733"/>
    <m/>
    <s v="2025-12-19T13:49:00"/>
    <s v="2025-12-19T13:49:00"/>
    <s v="system@alrashdeng.ae"/>
    <n v="1"/>
    <b v="1"/>
    <m/>
    <n v="0"/>
    <m/>
    <x v="0"/>
    <x v="0"/>
  </r>
  <r>
    <s v="PH-PRJ-055-10"/>
    <x v="54"/>
    <x v="9"/>
    <d v="2025-12-31T00:00:00"/>
    <d v="2026-01-08T00:00:00"/>
    <d v="2025-12-31T00:00:00"/>
    <d v="2026-01-08T00:00:00"/>
    <s v="Completed"/>
    <n v="100"/>
    <n v="1473155"/>
    <m/>
    <s v="2025-12-31T11:42:00"/>
    <s v="2025-12-31T11:42:00"/>
    <s v="system@alrashdeng.ae"/>
    <n v="1"/>
    <b v="1"/>
    <m/>
    <n v="0"/>
    <m/>
    <x v="0"/>
    <x v="0"/>
  </r>
  <r>
    <s v="PH-PRJ-056-01"/>
    <x v="55"/>
    <x v="0"/>
    <d v="2024-05-02T00:00:00"/>
    <d v="2024-07-13T00:00:00"/>
    <d v="2024-05-02T00:00:00"/>
    <d v="2024-07-13T00:00:00"/>
    <s v="Completed"/>
    <n v="100"/>
    <n v="17366054"/>
    <m/>
    <s v="2024-05-02T07:17:00"/>
    <s v="2024-05-02T07:17:00"/>
    <s v="system@alrashdeng.ae"/>
    <n v="1"/>
    <b v="1"/>
    <m/>
    <n v="0"/>
    <m/>
    <x v="0"/>
    <x v="0"/>
  </r>
  <r>
    <s v="PH-PRJ-056-02"/>
    <x v="55"/>
    <x v="1"/>
    <d v="2024-07-13T00:00:00"/>
    <d v="2024-12-04T00:00:00"/>
    <d v="2024-07-13T00:00:00"/>
    <d v="2024-12-04T00:00:00"/>
    <s v="Completed"/>
    <n v="100"/>
    <n v="34732108"/>
    <m/>
    <s v="2024-07-13T08:59:00"/>
    <s v="2024-07-13T08:59:00"/>
    <s v="system@alrashdeng.ae"/>
    <n v="1"/>
    <b v="1"/>
    <m/>
    <n v="0"/>
    <m/>
    <x v="0"/>
    <x v="0"/>
  </r>
  <r>
    <s v="PH-PRJ-056-03"/>
    <x v="55"/>
    <x v="2"/>
    <d v="2024-12-04T00:00:00"/>
    <d v="2025-05-25T00:00:00"/>
    <d v="2024-12-04T00:00:00"/>
    <d v="2025-05-25T00:00:00"/>
    <s v="Completed"/>
    <n v="100"/>
    <n v="41678530"/>
    <m/>
    <s v="2024-12-04T09:40:00"/>
    <s v="2024-12-04T09:40:00"/>
    <s v="system@alrashdeng.ae"/>
    <n v="1"/>
    <b v="1"/>
    <s v="Critical Phase"/>
    <n v="0"/>
    <m/>
    <x v="0"/>
    <x v="0"/>
  </r>
  <r>
    <s v="PH-PRJ-056-04"/>
    <x v="55"/>
    <x v="3"/>
    <d v="2025-05-25T00:00:00"/>
    <d v="2025-12-27T00:00:00"/>
    <d v="2025-05-25T00:00:00"/>
    <d v="2025-12-27T00:00:00"/>
    <s v="Completed"/>
    <n v="100"/>
    <n v="52098163"/>
    <m/>
    <s v="2025-05-25T07:40:00"/>
    <s v="2025-05-25T07:40:00"/>
    <s v="system@alrashdeng.ae"/>
    <n v="1"/>
    <b v="1"/>
    <m/>
    <n v="0"/>
    <m/>
    <x v="0"/>
    <x v="0"/>
  </r>
  <r>
    <s v="PH-PRJ-056-05"/>
    <x v="55"/>
    <x v="4"/>
    <d v="2025-12-27T00:00:00"/>
    <d v="2026-12-22T00:00:00"/>
    <d v="2025-12-27T00:00:00"/>
    <m/>
    <s v="In Progress"/>
    <n v="33"/>
    <n v="86830271"/>
    <m/>
    <s v="2025-12-27T08:29:00"/>
    <s v="2025-12-27T08:29:00"/>
    <s v="system@alrashdeng.ae"/>
    <n v="1"/>
    <b v="1"/>
    <s v="Critical Phase"/>
    <m/>
    <n v="-84"/>
    <x v="0"/>
    <x v="0"/>
  </r>
  <r>
    <s v="PH-PRJ-056-06"/>
    <x v="55"/>
    <x v="5"/>
    <d v="2026-12-22T00:00:00"/>
    <d v="2027-05-15T00:00:00"/>
    <m/>
    <m/>
    <s v="Not Started"/>
    <n v="0"/>
    <n v="34732108"/>
    <m/>
    <s v="2026-12-22T16:07:00"/>
    <s v="2026-12-22T16:07:00"/>
    <s v="system@alrashdeng.ae"/>
    <n v="1"/>
    <b v="1"/>
    <m/>
    <m/>
    <n v="-228"/>
    <x v="0"/>
    <x v="0"/>
  </r>
  <r>
    <s v="PH-PRJ-056-07"/>
    <x v="55"/>
    <x v="6"/>
    <d v="2027-05-15T00:00:00"/>
    <d v="2027-09-07T00:00:00"/>
    <m/>
    <m/>
    <s v="Not Started"/>
    <n v="0"/>
    <n v="27785686"/>
    <m/>
    <s v="2027-05-15T08:09:00"/>
    <s v="2027-05-15T08:09:00"/>
    <s v="system@alrashdeng.ae"/>
    <n v="1"/>
    <b v="1"/>
    <m/>
    <m/>
    <n v="-343"/>
    <x v="0"/>
    <x v="0"/>
  </r>
  <r>
    <s v="PH-PRJ-056-08"/>
    <x v="55"/>
    <x v="7"/>
    <d v="2027-09-07T00:00:00"/>
    <d v="2028-01-29T00:00:00"/>
    <m/>
    <m/>
    <s v="Not Started"/>
    <n v="0"/>
    <n v="34732108"/>
    <m/>
    <s v="2027-09-07T11:16:00"/>
    <s v="2027-09-07T11:16:00"/>
    <s v="system@alrashdeng.ae"/>
    <n v="1"/>
    <b v="1"/>
    <m/>
    <m/>
    <n v="-487"/>
    <x v="0"/>
    <x v="0"/>
  </r>
  <r>
    <s v="PH-PRJ-056-09"/>
    <x v="55"/>
    <x v="8"/>
    <d v="2028-01-29T00:00:00"/>
    <d v="2028-03-12T00:00:00"/>
    <m/>
    <m/>
    <s v="Not Started"/>
    <n v="0"/>
    <n v="10419632"/>
    <m/>
    <s v="2028-01-29T09:05:00"/>
    <s v="2028-01-29T09:05:00"/>
    <s v="system@alrashdeng.ae"/>
    <n v="1"/>
    <b v="1"/>
    <m/>
    <m/>
    <n v="-530"/>
    <x v="0"/>
    <x v="0"/>
  </r>
  <r>
    <s v="PH-PRJ-056-10"/>
    <x v="55"/>
    <x v="9"/>
    <d v="2028-03-12T00:00:00"/>
    <d v="2028-04-09T00:00:00"/>
    <m/>
    <m/>
    <s v="Not Started"/>
    <n v="0"/>
    <n v="6946421"/>
    <m/>
    <s v="2028-03-12T08:31:00"/>
    <s v="2028-03-12T08:31:00"/>
    <s v="system@alrashdeng.ae"/>
    <n v="1"/>
    <b v="1"/>
    <m/>
    <m/>
    <n v="-558"/>
    <x v="0"/>
    <x v="0"/>
  </r>
  <r>
    <s v="PH-PRJ-057-01"/>
    <x v="56"/>
    <x v="0"/>
    <d v="2023-09-02T00:00:00"/>
    <d v="2023-10-06T00:00:00"/>
    <d v="2023-09-02T00:00:00"/>
    <d v="2023-10-06T00:00:00"/>
    <s v="Completed"/>
    <n v="100"/>
    <n v="16979212"/>
    <m/>
    <s v="2023-09-02T12:58:00"/>
    <s v="2023-09-02T12:58:00"/>
    <s v="system@alrashdeng.ae"/>
    <n v="1"/>
    <b v="1"/>
    <m/>
    <n v="0"/>
    <m/>
    <x v="0"/>
    <x v="0"/>
  </r>
  <r>
    <s v="PH-PRJ-057-02"/>
    <x v="56"/>
    <x v="1"/>
    <d v="2023-10-06T00:00:00"/>
    <d v="2023-12-14T00:00:00"/>
    <d v="2023-10-06T00:00:00"/>
    <d v="2023-12-14T00:00:00"/>
    <s v="Completed"/>
    <n v="100"/>
    <n v="33958425"/>
    <m/>
    <s v="2023-10-06T10:25:00"/>
    <s v="2023-10-06T10:25:00"/>
    <s v="system@alrashdeng.ae"/>
    <n v="1"/>
    <b v="1"/>
    <m/>
    <n v="0"/>
    <m/>
    <x v="0"/>
    <x v="0"/>
  </r>
  <r>
    <s v="PH-PRJ-057-03"/>
    <x v="56"/>
    <x v="2"/>
    <d v="2023-12-14T00:00:00"/>
    <d v="2024-03-05T00:00:00"/>
    <d v="2023-12-14T00:00:00"/>
    <d v="2024-03-05T00:00:00"/>
    <s v="Completed"/>
    <n v="100"/>
    <n v="40750110"/>
    <m/>
    <s v="2023-12-14T08:31:00"/>
    <s v="2023-12-14T08:31:00"/>
    <s v="system@alrashdeng.ae"/>
    <n v="1"/>
    <b v="1"/>
    <s v="Critical Phase"/>
    <n v="0"/>
    <m/>
    <x v="0"/>
    <x v="0"/>
  </r>
  <r>
    <s v="PH-PRJ-057-04"/>
    <x v="56"/>
    <x v="3"/>
    <d v="2024-03-05T00:00:00"/>
    <d v="2024-06-16T00:00:00"/>
    <d v="2024-03-05T00:00:00"/>
    <d v="2024-06-16T00:00:00"/>
    <s v="Completed"/>
    <n v="100"/>
    <n v="50937637"/>
    <m/>
    <s v="2024-03-05T07:26:00"/>
    <s v="2024-03-05T07:26:00"/>
    <s v="system@alrashdeng.ae"/>
    <n v="1"/>
    <b v="1"/>
    <m/>
    <n v="0"/>
    <m/>
    <x v="0"/>
    <x v="0"/>
  </r>
  <r>
    <s v="PH-PRJ-057-05"/>
    <x v="56"/>
    <x v="4"/>
    <d v="2024-06-16T00:00:00"/>
    <d v="2024-12-05T00:00:00"/>
    <d v="2024-06-16T00:00:00"/>
    <d v="2024-12-05T00:00:00"/>
    <s v="Completed"/>
    <n v="100"/>
    <n v="84896063"/>
    <m/>
    <s v="2024-06-16T08:31:00"/>
    <s v="2024-06-16T08:31:00"/>
    <s v="system@alrashdeng.ae"/>
    <n v="1"/>
    <b v="1"/>
    <s v="Critical Phase"/>
    <n v="0"/>
    <m/>
    <x v="0"/>
    <x v="0"/>
  </r>
  <r>
    <s v="PH-PRJ-057-06"/>
    <x v="56"/>
    <x v="5"/>
    <d v="2024-12-05T00:00:00"/>
    <d v="2025-02-12T00:00:00"/>
    <d v="2024-12-05T00:00:00"/>
    <d v="2025-02-12T00:00:00"/>
    <s v="Completed"/>
    <n v="100"/>
    <n v="33958425"/>
    <m/>
    <s v="2024-12-05T17:04:00"/>
    <s v="2024-12-05T17:04:00"/>
    <s v="system@alrashdeng.ae"/>
    <n v="1"/>
    <b v="1"/>
    <m/>
    <n v="0"/>
    <m/>
    <x v="0"/>
    <x v="0"/>
  </r>
  <r>
    <s v="PH-PRJ-057-07"/>
    <x v="56"/>
    <x v="6"/>
    <d v="2025-02-12T00:00:00"/>
    <d v="2025-04-08T00:00:00"/>
    <d v="2025-02-12T00:00:00"/>
    <d v="2025-04-08T00:00:00"/>
    <s v="Completed"/>
    <n v="100"/>
    <n v="27166740"/>
    <m/>
    <s v="2025-02-12T10:43:00"/>
    <s v="2025-02-12T10:43:00"/>
    <s v="system@alrashdeng.ae"/>
    <n v="1"/>
    <b v="1"/>
    <m/>
    <n v="0"/>
    <m/>
    <x v="0"/>
    <x v="0"/>
  </r>
  <r>
    <s v="PH-PRJ-057-08"/>
    <x v="56"/>
    <x v="7"/>
    <d v="2025-04-08T00:00:00"/>
    <d v="2025-06-16T00:00:00"/>
    <d v="2025-04-08T00:00:00"/>
    <d v="2025-06-16T00:00:00"/>
    <s v="Completed"/>
    <n v="100"/>
    <n v="33958425"/>
    <m/>
    <s v="2025-04-08T13:24:00"/>
    <s v="2025-04-08T13:24:00"/>
    <s v="system@alrashdeng.ae"/>
    <n v="1"/>
    <b v="1"/>
    <m/>
    <n v="0"/>
    <m/>
    <x v="0"/>
    <x v="0"/>
  </r>
  <r>
    <s v="PH-PRJ-057-09"/>
    <x v="56"/>
    <x v="8"/>
    <d v="2025-06-16T00:00:00"/>
    <d v="2025-07-06T00:00:00"/>
    <d v="2025-06-16T00:00:00"/>
    <d v="2025-07-06T00:00:00"/>
    <s v="Completed"/>
    <n v="100"/>
    <n v="10187527"/>
    <m/>
    <s v="2025-06-16T12:40:00"/>
    <s v="2025-06-16T12:40:00"/>
    <s v="system@alrashdeng.ae"/>
    <n v="1"/>
    <b v="1"/>
    <m/>
    <n v="0"/>
    <m/>
    <x v="0"/>
    <x v="0"/>
  </r>
  <r>
    <s v="PH-PRJ-057-10"/>
    <x v="56"/>
    <x v="9"/>
    <d v="2025-07-06T00:00:00"/>
    <d v="2025-07-19T00:00:00"/>
    <d v="2025-07-06T00:00:00"/>
    <d v="2025-07-19T00:00:00"/>
    <s v="Completed"/>
    <n v="100"/>
    <n v="6791685"/>
    <m/>
    <s v="2025-07-06T14:51:00"/>
    <s v="2025-07-06T14:51:00"/>
    <s v="system@alrashdeng.ae"/>
    <n v="1"/>
    <b v="1"/>
    <m/>
    <n v="0"/>
    <m/>
    <x v="0"/>
    <x v="0"/>
  </r>
  <r>
    <s v="PH-PRJ-058-01"/>
    <x v="57"/>
    <x v="0"/>
    <d v="2023-05-11T00:00:00"/>
    <d v="2023-05-30T00:00:00"/>
    <d v="2023-05-11T00:00:00"/>
    <d v="2023-05-30T00:00:00"/>
    <s v="Completed"/>
    <n v="100"/>
    <n v="5681752"/>
    <m/>
    <s v="2023-05-11T09:11:00"/>
    <s v="2023-05-11T09:11:00"/>
    <s v="system@alrashdeng.ae"/>
    <n v="1"/>
    <b v="1"/>
    <m/>
    <n v="0"/>
    <m/>
    <x v="0"/>
    <x v="0"/>
  </r>
  <r>
    <s v="PH-PRJ-058-02"/>
    <x v="57"/>
    <x v="1"/>
    <d v="2023-05-30T00:00:00"/>
    <d v="2023-07-08T00:00:00"/>
    <d v="2023-05-30T00:00:00"/>
    <d v="2023-07-08T00:00:00"/>
    <s v="Completed"/>
    <n v="100"/>
    <n v="11363505"/>
    <m/>
    <s v="2023-05-30T11:00:00"/>
    <s v="2023-05-30T11:00:00"/>
    <s v="system@alrashdeng.ae"/>
    <n v="1"/>
    <b v="1"/>
    <m/>
    <n v="0"/>
    <m/>
    <x v="0"/>
    <x v="0"/>
  </r>
  <r>
    <s v="PH-PRJ-058-03"/>
    <x v="57"/>
    <x v="2"/>
    <d v="2023-07-08T00:00:00"/>
    <d v="2023-08-23T00:00:00"/>
    <d v="2023-07-08T00:00:00"/>
    <d v="2023-08-23T00:00:00"/>
    <s v="Completed"/>
    <n v="100"/>
    <n v="13636206"/>
    <m/>
    <s v="2023-07-08T09:42:00"/>
    <s v="2023-07-08T09:42:00"/>
    <s v="system@alrashdeng.ae"/>
    <n v="1"/>
    <b v="1"/>
    <s v="Critical Phase"/>
    <n v="0"/>
    <m/>
    <x v="0"/>
    <x v="0"/>
  </r>
  <r>
    <s v="PH-PRJ-058-04"/>
    <x v="57"/>
    <x v="3"/>
    <d v="2023-08-23T00:00:00"/>
    <d v="2023-10-20T00:00:00"/>
    <d v="2023-08-23T00:00:00"/>
    <d v="2023-10-20T00:00:00"/>
    <s v="Completed"/>
    <n v="100"/>
    <n v="17045257"/>
    <m/>
    <s v="2023-08-23T16:40:00"/>
    <s v="2023-08-23T16:40:00"/>
    <s v="system@alrashdeng.ae"/>
    <n v="1"/>
    <b v="1"/>
    <m/>
    <n v="0"/>
    <m/>
    <x v="0"/>
    <x v="0"/>
  </r>
  <r>
    <s v="PH-PRJ-058-05"/>
    <x v="57"/>
    <x v="4"/>
    <d v="2023-10-20T00:00:00"/>
    <d v="2024-01-25T00:00:00"/>
    <d v="2023-10-20T00:00:00"/>
    <d v="2024-01-25T00:00:00"/>
    <s v="Completed"/>
    <n v="100"/>
    <n v="28408762"/>
    <m/>
    <s v="2023-10-20T16:54:00"/>
    <s v="2023-10-20T16:54:00"/>
    <s v="system@alrashdeng.ae"/>
    <n v="1"/>
    <b v="1"/>
    <s v="Critical Phase"/>
    <n v="0"/>
    <m/>
    <x v="0"/>
    <x v="0"/>
  </r>
  <r>
    <s v="PH-PRJ-058-06"/>
    <x v="57"/>
    <x v="5"/>
    <d v="2024-01-25T00:00:00"/>
    <d v="2024-03-04T00:00:00"/>
    <d v="2024-01-25T00:00:00"/>
    <d v="2024-03-04T00:00:00"/>
    <s v="Completed"/>
    <n v="100"/>
    <n v="11363505"/>
    <m/>
    <s v="2024-01-25T07:07:00"/>
    <s v="2024-01-25T07:07:00"/>
    <s v="system@alrashdeng.ae"/>
    <n v="1"/>
    <b v="1"/>
    <m/>
    <n v="0"/>
    <m/>
    <x v="0"/>
    <x v="0"/>
  </r>
  <r>
    <s v="PH-PRJ-058-07"/>
    <x v="57"/>
    <x v="6"/>
    <d v="2024-03-04T00:00:00"/>
    <d v="2024-04-04T00:00:00"/>
    <d v="2024-03-04T00:00:00"/>
    <d v="2024-04-04T00:00:00"/>
    <s v="Completed"/>
    <n v="100"/>
    <n v="9090804"/>
    <m/>
    <s v="2024-03-04T12:22:00"/>
    <s v="2024-03-04T12:22:00"/>
    <s v="system@alrashdeng.ae"/>
    <n v="1"/>
    <b v="1"/>
    <m/>
    <n v="0"/>
    <m/>
    <x v="0"/>
    <x v="0"/>
  </r>
  <r>
    <s v="PH-PRJ-058-08"/>
    <x v="57"/>
    <x v="7"/>
    <d v="2024-04-04T00:00:00"/>
    <d v="2024-05-13T00:00:00"/>
    <d v="2024-04-04T00:00:00"/>
    <d v="2024-05-13T00:00:00"/>
    <s v="Completed"/>
    <n v="100"/>
    <n v="11363505"/>
    <m/>
    <s v="2024-04-04T14:39:00"/>
    <s v="2024-04-04T14:39:00"/>
    <s v="system@alrashdeng.ae"/>
    <n v="1"/>
    <b v="1"/>
    <m/>
    <n v="0"/>
    <m/>
    <x v="0"/>
    <x v="0"/>
  </r>
  <r>
    <s v="PH-PRJ-058-09"/>
    <x v="57"/>
    <x v="8"/>
    <d v="2024-05-13T00:00:00"/>
    <d v="2024-05-24T00:00:00"/>
    <d v="2024-05-13T00:00:00"/>
    <d v="2024-05-24T00:00:00"/>
    <s v="Completed"/>
    <n v="100"/>
    <n v="3409051"/>
    <m/>
    <s v="2024-05-13T16:34:00"/>
    <s v="2024-05-13T16:34:00"/>
    <s v="system@alrashdeng.ae"/>
    <n v="1"/>
    <b v="1"/>
    <m/>
    <n v="0"/>
    <m/>
    <x v="0"/>
    <x v="0"/>
  </r>
  <r>
    <s v="PH-PRJ-058-10"/>
    <x v="57"/>
    <x v="9"/>
    <d v="2024-05-24T00:00:00"/>
    <d v="2024-05-31T00:00:00"/>
    <d v="2024-05-24T00:00:00"/>
    <d v="2024-05-31T00:00:00"/>
    <s v="Completed"/>
    <n v="100"/>
    <n v="2272701"/>
    <m/>
    <s v="2024-05-24T07:10:00"/>
    <s v="2024-05-24T07:10:00"/>
    <s v="system@alrashdeng.ae"/>
    <n v="1"/>
    <b v="1"/>
    <m/>
    <n v="0"/>
    <m/>
    <x v="0"/>
    <x v="0"/>
  </r>
  <r>
    <s v="PH-PRJ-059-01"/>
    <x v="58"/>
    <x v="0"/>
    <d v="2020-08-25T00:00:00"/>
    <d v="2020-09-22T00:00:00"/>
    <d v="2020-08-25T00:00:00"/>
    <d v="2020-09-22T00:00:00"/>
    <s v="Completed"/>
    <n v="100"/>
    <n v="2751549"/>
    <m/>
    <s v="2020-08-25T15:47:00"/>
    <s v="2020-08-25T15:47:00"/>
    <s v="system@alrashdeng.ae"/>
    <n v="1"/>
    <b v="1"/>
    <m/>
    <n v="0"/>
    <m/>
    <x v="0"/>
    <x v="0"/>
  </r>
  <r>
    <s v="PH-PRJ-059-02"/>
    <x v="58"/>
    <x v="1"/>
    <d v="2020-09-22T00:00:00"/>
    <d v="2020-11-18T00:00:00"/>
    <d v="2020-09-22T00:00:00"/>
    <d v="2020-11-18T00:00:00"/>
    <s v="Completed"/>
    <n v="100"/>
    <n v="5503098"/>
    <m/>
    <s v="2020-09-22T11:59:00"/>
    <s v="2020-09-22T11:59:00"/>
    <s v="system@alrashdeng.ae"/>
    <n v="1"/>
    <b v="1"/>
    <m/>
    <n v="0"/>
    <m/>
    <x v="0"/>
    <x v="0"/>
  </r>
  <r>
    <s v="PH-PRJ-059-03"/>
    <x v="58"/>
    <x v="2"/>
    <d v="2020-11-18T00:00:00"/>
    <d v="2021-01-25T00:00:00"/>
    <d v="2020-11-18T00:00:00"/>
    <d v="2021-01-25T00:00:00"/>
    <s v="Completed"/>
    <n v="100"/>
    <n v="6603717"/>
    <m/>
    <s v="2020-11-18T08:12:00"/>
    <s v="2020-11-18T08:12:00"/>
    <s v="system@alrashdeng.ae"/>
    <n v="1"/>
    <b v="1"/>
    <s v="Critical Phase"/>
    <n v="0"/>
    <m/>
    <x v="0"/>
    <x v="0"/>
  </r>
  <r>
    <s v="PH-PRJ-059-04"/>
    <x v="58"/>
    <x v="3"/>
    <d v="2021-01-25T00:00:00"/>
    <d v="2021-04-20T00:00:00"/>
    <d v="2021-01-25T00:00:00"/>
    <d v="2021-04-20T00:00:00"/>
    <s v="Completed"/>
    <n v="100"/>
    <n v="8254647"/>
    <m/>
    <s v="2021-01-25T16:01:00"/>
    <s v="2021-01-25T16:01:00"/>
    <s v="system@alrashdeng.ae"/>
    <n v="1"/>
    <b v="1"/>
    <m/>
    <n v="0"/>
    <m/>
    <x v="0"/>
    <x v="0"/>
  </r>
  <r>
    <s v="PH-PRJ-059-05"/>
    <x v="58"/>
    <x v="4"/>
    <d v="2021-04-20T00:00:00"/>
    <d v="2021-09-09T00:00:00"/>
    <d v="2021-04-20T00:00:00"/>
    <d v="2021-09-09T00:00:00"/>
    <s v="Completed"/>
    <n v="100"/>
    <n v="13757745"/>
    <m/>
    <s v="2021-04-20T15:01:00"/>
    <s v="2021-04-20T15:01:00"/>
    <s v="system@alrashdeng.ae"/>
    <n v="1"/>
    <b v="1"/>
    <s v="Critical Phase"/>
    <n v="0"/>
    <m/>
    <x v="0"/>
    <x v="0"/>
  </r>
  <r>
    <s v="PH-PRJ-059-06"/>
    <x v="58"/>
    <x v="5"/>
    <d v="2021-09-09T00:00:00"/>
    <d v="2021-11-05T00:00:00"/>
    <d v="2021-09-09T00:00:00"/>
    <d v="2021-11-05T00:00:00"/>
    <s v="Completed"/>
    <n v="100"/>
    <n v="5503098"/>
    <m/>
    <s v="2021-09-09T15:32:00"/>
    <s v="2021-09-09T15:32:00"/>
    <s v="system@alrashdeng.ae"/>
    <n v="1"/>
    <b v="1"/>
    <m/>
    <n v="0"/>
    <m/>
    <x v="0"/>
    <x v="0"/>
  </r>
  <r>
    <s v="PH-PRJ-059-07"/>
    <x v="58"/>
    <x v="6"/>
    <d v="2021-11-05T00:00:00"/>
    <d v="2021-12-20T00:00:00"/>
    <d v="2021-11-05T00:00:00"/>
    <d v="2021-12-20T00:00:00"/>
    <s v="Completed"/>
    <n v="100"/>
    <n v="4402478"/>
    <m/>
    <s v="2021-11-05T09:13:00"/>
    <s v="2021-11-05T09:13:00"/>
    <s v="system@alrashdeng.ae"/>
    <n v="1"/>
    <b v="1"/>
    <m/>
    <n v="0"/>
    <m/>
    <x v="0"/>
    <x v="0"/>
  </r>
  <r>
    <s v="PH-PRJ-059-08"/>
    <x v="58"/>
    <x v="7"/>
    <d v="2021-12-20T00:00:00"/>
    <d v="2022-02-15T00:00:00"/>
    <d v="2021-12-20T00:00:00"/>
    <d v="2022-02-15T00:00:00"/>
    <s v="Completed"/>
    <n v="100"/>
    <n v="5503098"/>
    <m/>
    <s v="2021-12-20T12:07:00"/>
    <s v="2021-12-20T12:07:00"/>
    <s v="system@alrashdeng.ae"/>
    <n v="1"/>
    <b v="1"/>
    <m/>
    <n v="0"/>
    <m/>
    <x v="0"/>
    <x v="0"/>
  </r>
  <r>
    <s v="PH-PRJ-059-09"/>
    <x v="58"/>
    <x v="8"/>
    <d v="2022-02-15T00:00:00"/>
    <d v="2022-03-04T00:00:00"/>
    <d v="2022-02-15T00:00:00"/>
    <d v="2022-03-04T00:00:00"/>
    <s v="Completed"/>
    <n v="100"/>
    <n v="1650929"/>
    <m/>
    <s v="2022-02-15T10:01:00"/>
    <s v="2022-02-15T10:01:00"/>
    <s v="system@alrashdeng.ae"/>
    <n v="1"/>
    <b v="1"/>
    <m/>
    <n v="0"/>
    <m/>
    <x v="0"/>
    <x v="0"/>
  </r>
  <r>
    <s v="PH-PRJ-059-10"/>
    <x v="58"/>
    <x v="9"/>
    <d v="2022-03-04T00:00:00"/>
    <d v="2022-03-15T00:00:00"/>
    <d v="2022-03-04T00:00:00"/>
    <d v="2022-03-15T00:00:00"/>
    <s v="Completed"/>
    <n v="100"/>
    <n v="1100619"/>
    <m/>
    <s v="2022-03-04T12:08:00"/>
    <s v="2022-03-04T12:08:00"/>
    <s v="system@alrashdeng.ae"/>
    <n v="1"/>
    <b v="1"/>
    <m/>
    <n v="0"/>
    <m/>
    <x v="0"/>
    <x v="0"/>
  </r>
  <r>
    <s v="PH-PRJ-060-01"/>
    <x v="59"/>
    <x v="0"/>
    <d v="2024-02-06T00:00:00"/>
    <d v="2024-04-13T00:00:00"/>
    <d v="2024-02-06T00:00:00"/>
    <d v="2024-04-13T00:00:00"/>
    <s v="Completed"/>
    <n v="100"/>
    <n v="11764707"/>
    <m/>
    <s v="2024-02-06T10:05:00"/>
    <s v="2024-02-06T10:05:00"/>
    <s v="system@alrashdeng.ae"/>
    <n v="1"/>
    <b v="1"/>
    <m/>
    <n v="0"/>
    <m/>
    <x v="0"/>
    <x v="0"/>
  </r>
  <r>
    <s v="PH-PRJ-060-02"/>
    <x v="59"/>
    <x v="1"/>
    <d v="2024-04-13T00:00:00"/>
    <d v="2024-08-26T00:00:00"/>
    <d v="2024-04-13T00:00:00"/>
    <d v="2024-08-26T00:00:00"/>
    <s v="Completed"/>
    <n v="100"/>
    <n v="23529414"/>
    <m/>
    <s v="2024-04-13T09:17:00"/>
    <s v="2024-04-13T09:17:00"/>
    <s v="system@alrashdeng.ae"/>
    <n v="1"/>
    <b v="1"/>
    <m/>
    <n v="0"/>
    <m/>
    <x v="0"/>
    <x v="0"/>
  </r>
  <r>
    <s v="PH-PRJ-060-03"/>
    <x v="59"/>
    <x v="2"/>
    <d v="2024-08-26T00:00:00"/>
    <d v="2025-02-04T00:00:00"/>
    <d v="2024-08-26T00:00:00"/>
    <d v="2025-02-04T00:00:00"/>
    <s v="Completed"/>
    <n v="100"/>
    <n v="28235297"/>
    <m/>
    <s v="2024-08-26T11:30:00"/>
    <s v="2024-08-26T11:30:00"/>
    <s v="system@alrashdeng.ae"/>
    <n v="1"/>
    <b v="1"/>
    <s v="Critical Phase"/>
    <n v="0"/>
    <m/>
    <x v="0"/>
    <x v="0"/>
  </r>
  <r>
    <s v="PH-PRJ-060-04"/>
    <x v="59"/>
    <x v="3"/>
    <d v="2025-02-04T00:00:00"/>
    <d v="2025-08-25T00:00:00"/>
    <d v="2025-02-04T00:00:00"/>
    <d v="2025-08-25T00:00:00"/>
    <s v="Completed"/>
    <n v="100"/>
    <n v="35294121"/>
    <m/>
    <s v="2025-02-04T10:05:00"/>
    <s v="2025-02-04T10:05:00"/>
    <s v="system@alrashdeng.ae"/>
    <n v="1"/>
    <b v="1"/>
    <m/>
    <n v="0"/>
    <m/>
    <x v="0"/>
    <x v="0"/>
  </r>
  <r>
    <s v="PH-PRJ-060-05"/>
    <x v="59"/>
    <x v="4"/>
    <d v="2025-08-25T00:00:00"/>
    <d v="2026-07-28T00:00:00"/>
    <d v="2025-08-25T00:00:00"/>
    <m/>
    <s v="In Progress"/>
    <n v="64"/>
    <n v="58823535"/>
    <m/>
    <s v="2025-08-25T15:41:00"/>
    <s v="2025-08-25T15:41:00"/>
    <s v="system@alrashdeng.ae"/>
    <n v="1"/>
    <b v="1"/>
    <s v="Critical Phase"/>
    <m/>
    <n v="63"/>
    <x v="1"/>
    <x v="33"/>
  </r>
  <r>
    <s v="PH-PRJ-060-06"/>
    <x v="59"/>
    <x v="5"/>
    <d v="2026-07-28T00:00:00"/>
    <d v="2026-12-10T00:00:00"/>
    <m/>
    <m/>
    <s v="Not Started"/>
    <n v="0"/>
    <n v="23529414"/>
    <m/>
    <s v="2026-07-28T11:29:00"/>
    <s v="2026-07-28T11:29:00"/>
    <s v="system@alrashdeng.ae"/>
    <n v="1"/>
    <b v="1"/>
    <m/>
    <m/>
    <n v="-72"/>
    <x v="0"/>
    <x v="0"/>
  </r>
  <r>
    <s v="PH-PRJ-060-07"/>
    <x v="59"/>
    <x v="6"/>
    <d v="2026-12-10T00:00:00"/>
    <d v="2027-03-28T00:00:00"/>
    <m/>
    <m/>
    <s v="Not Started"/>
    <n v="0"/>
    <n v="18823531"/>
    <m/>
    <s v="2026-12-10T14:27:00"/>
    <s v="2026-12-10T14:27:00"/>
    <s v="system@alrashdeng.ae"/>
    <n v="1"/>
    <b v="1"/>
    <m/>
    <m/>
    <n v="-180"/>
    <x v="0"/>
    <x v="0"/>
  </r>
  <r>
    <s v="PH-PRJ-060-08"/>
    <x v="59"/>
    <x v="7"/>
    <d v="2027-03-28T00:00:00"/>
    <d v="2027-08-10T00:00:00"/>
    <m/>
    <m/>
    <s v="Not Started"/>
    <n v="0"/>
    <n v="23529414"/>
    <m/>
    <s v="2027-03-28T15:25:00"/>
    <s v="2027-03-28T15:25:00"/>
    <s v="system@alrashdeng.ae"/>
    <n v="1"/>
    <b v="1"/>
    <m/>
    <m/>
    <n v="-315"/>
    <x v="0"/>
    <x v="0"/>
  </r>
  <r>
    <s v="PH-PRJ-060-09"/>
    <x v="59"/>
    <x v="8"/>
    <d v="2027-08-10T00:00:00"/>
    <d v="2027-09-19T00:00:00"/>
    <m/>
    <m/>
    <s v="Not Started"/>
    <n v="0"/>
    <n v="7058824"/>
    <m/>
    <s v="2027-08-10T10:16:00"/>
    <s v="2027-08-10T10:16:00"/>
    <s v="system@alrashdeng.ae"/>
    <n v="1"/>
    <b v="1"/>
    <m/>
    <m/>
    <n v="-355"/>
    <x v="0"/>
    <x v="0"/>
  </r>
  <r>
    <s v="PH-PRJ-060-10"/>
    <x v="59"/>
    <x v="9"/>
    <d v="2027-09-19T00:00:00"/>
    <d v="2027-10-16T00:00:00"/>
    <m/>
    <m/>
    <s v="Not Started"/>
    <n v="0"/>
    <n v="4705882"/>
    <m/>
    <s v="2027-09-19T09:12:00"/>
    <s v="2027-09-19T09:12:00"/>
    <s v="system@alrashdeng.ae"/>
    <n v="1"/>
    <b v="1"/>
    <m/>
    <m/>
    <n v="-382"/>
    <x v="0"/>
    <x v="0"/>
  </r>
  <r>
    <s v="PH-PRJ-061-01"/>
    <x v="60"/>
    <x v="0"/>
    <d v="2020-12-07T00:00:00"/>
    <d v="2021-02-14T00:00:00"/>
    <d v="2020-12-07T00:00:00"/>
    <d v="2021-02-14T00:00:00"/>
    <s v="Completed"/>
    <n v="100"/>
    <n v="11219526"/>
    <m/>
    <s v="2020-12-07T17:54:00"/>
    <s v="2020-12-07T17:54:00"/>
    <s v="system@alrashdeng.ae"/>
    <n v="1"/>
    <b v="1"/>
    <m/>
    <n v="0"/>
    <m/>
    <x v="0"/>
    <x v="0"/>
  </r>
  <r>
    <s v="PH-PRJ-061-02"/>
    <x v="60"/>
    <x v="1"/>
    <d v="2021-02-14T00:00:00"/>
    <d v="2021-07-02T00:00:00"/>
    <d v="2021-02-14T00:00:00"/>
    <d v="2021-07-02T00:00:00"/>
    <s v="Completed"/>
    <n v="100"/>
    <n v="22439052"/>
    <m/>
    <s v="2021-02-14T11:25:00"/>
    <s v="2021-02-14T11:25:00"/>
    <s v="system@alrashdeng.ae"/>
    <n v="1"/>
    <b v="1"/>
    <m/>
    <n v="0"/>
    <m/>
    <x v="0"/>
    <x v="0"/>
  </r>
  <r>
    <s v="PH-PRJ-061-03"/>
    <x v="60"/>
    <x v="2"/>
    <d v="2021-07-02T00:00:00"/>
    <d v="2021-12-14T00:00:00"/>
    <d v="2021-07-02T00:00:00"/>
    <d v="2021-12-14T00:00:00"/>
    <s v="Completed"/>
    <n v="100"/>
    <n v="26926863"/>
    <m/>
    <s v="2021-07-02T08:37:00"/>
    <s v="2021-07-02T08:37:00"/>
    <s v="system@alrashdeng.ae"/>
    <n v="1"/>
    <b v="1"/>
    <s v="Critical Phase"/>
    <n v="0"/>
    <m/>
    <x v="0"/>
    <x v="0"/>
  </r>
  <r>
    <s v="PH-PRJ-061-04"/>
    <x v="60"/>
    <x v="3"/>
    <d v="2021-12-14T00:00:00"/>
    <d v="2022-07-09T00:00:00"/>
    <d v="2021-12-14T00:00:00"/>
    <d v="2022-07-09T00:00:00"/>
    <s v="Completed"/>
    <n v="100"/>
    <n v="33658579"/>
    <m/>
    <s v="2021-12-14T16:19:00"/>
    <s v="2021-12-14T16:19:00"/>
    <s v="system@alrashdeng.ae"/>
    <n v="1"/>
    <b v="1"/>
    <m/>
    <n v="0"/>
    <m/>
    <x v="0"/>
    <x v="0"/>
  </r>
  <r>
    <s v="PH-PRJ-061-05"/>
    <x v="60"/>
    <x v="4"/>
    <d v="2022-07-09T00:00:00"/>
    <d v="2023-06-19T00:00:00"/>
    <d v="2022-07-09T00:00:00"/>
    <d v="2023-06-19T00:00:00"/>
    <s v="Completed"/>
    <n v="100"/>
    <n v="56097632"/>
    <m/>
    <s v="2022-07-09T09:50:00"/>
    <s v="2022-07-09T09:50:00"/>
    <s v="system@alrashdeng.ae"/>
    <n v="1"/>
    <b v="1"/>
    <s v="Critical Phase"/>
    <n v="0"/>
    <m/>
    <x v="0"/>
    <x v="0"/>
  </r>
  <r>
    <s v="PH-PRJ-061-06"/>
    <x v="60"/>
    <x v="5"/>
    <d v="2023-06-19T00:00:00"/>
    <d v="2023-11-04T00:00:00"/>
    <d v="2023-06-19T00:00:00"/>
    <d v="2023-11-04T00:00:00"/>
    <s v="Completed"/>
    <n v="100"/>
    <n v="22439052"/>
    <m/>
    <s v="2023-06-19T10:46:00"/>
    <s v="2023-06-19T10:46:00"/>
    <s v="system@alrashdeng.ae"/>
    <n v="1"/>
    <b v="1"/>
    <m/>
    <n v="0"/>
    <m/>
    <x v="0"/>
    <x v="0"/>
  </r>
  <r>
    <s v="PH-PRJ-061-07"/>
    <x v="60"/>
    <x v="6"/>
    <d v="2023-11-04T00:00:00"/>
    <d v="2024-02-22T00:00:00"/>
    <d v="2023-11-04T00:00:00"/>
    <d v="2024-02-22T00:00:00"/>
    <s v="Completed"/>
    <n v="100"/>
    <n v="17951242"/>
    <m/>
    <s v="2023-11-04T14:27:00"/>
    <s v="2023-11-04T14:27:00"/>
    <s v="system@alrashdeng.ae"/>
    <n v="1"/>
    <b v="1"/>
    <m/>
    <n v="0"/>
    <m/>
    <x v="0"/>
    <x v="0"/>
  </r>
  <r>
    <s v="PH-PRJ-061-08"/>
    <x v="60"/>
    <x v="7"/>
    <d v="2024-02-22T00:00:00"/>
    <d v="2024-07-09T00:00:00"/>
    <d v="2024-02-22T00:00:00"/>
    <d v="2024-07-09T00:00:00"/>
    <s v="Completed"/>
    <n v="100"/>
    <n v="22439052"/>
    <m/>
    <s v="2024-02-22T14:27:00"/>
    <s v="2024-02-22T14:27:00"/>
    <s v="system@alrashdeng.ae"/>
    <n v="1"/>
    <b v="1"/>
    <m/>
    <n v="0"/>
    <m/>
    <x v="0"/>
    <x v="0"/>
  </r>
  <r>
    <s v="PH-PRJ-061-09"/>
    <x v="60"/>
    <x v="8"/>
    <d v="2024-07-09T00:00:00"/>
    <d v="2024-08-19T00:00:00"/>
    <d v="2024-07-09T00:00:00"/>
    <d v="2024-08-19T00:00:00"/>
    <s v="Completed"/>
    <n v="100"/>
    <n v="6731715"/>
    <m/>
    <s v="2024-07-09T16:47:00"/>
    <s v="2024-07-09T16:47:00"/>
    <s v="system@alrashdeng.ae"/>
    <n v="1"/>
    <b v="1"/>
    <m/>
    <n v="0"/>
    <m/>
    <x v="0"/>
    <x v="0"/>
  </r>
  <r>
    <s v="PH-PRJ-061-10"/>
    <x v="60"/>
    <x v="9"/>
    <d v="2024-08-19T00:00:00"/>
    <d v="2024-09-15T00:00:00"/>
    <d v="2024-08-19T00:00:00"/>
    <d v="2024-09-15T00:00:00"/>
    <s v="Completed"/>
    <n v="100"/>
    <n v="4487810"/>
    <m/>
    <s v="2024-08-19T11:52:00"/>
    <s v="2024-08-19T11:52:00"/>
    <s v="system@alrashdeng.ae"/>
    <n v="1"/>
    <b v="1"/>
    <m/>
    <n v="0"/>
    <m/>
    <x v="0"/>
    <x v="0"/>
  </r>
  <r>
    <s v="PH-PRJ-062-01"/>
    <x v="61"/>
    <x v="0"/>
    <d v="2025-05-01T00:00:00"/>
    <d v="2025-06-22T00:00:00"/>
    <d v="2025-05-01T00:00:00"/>
    <d v="2025-06-22T00:00:00"/>
    <s v="Completed"/>
    <n v="100"/>
    <n v="3111071"/>
    <m/>
    <s v="2025-05-01T12:39:00"/>
    <s v="2025-05-01T12:39:00"/>
    <s v="system@alrashdeng.ae"/>
    <n v="1"/>
    <b v="1"/>
    <m/>
    <n v="0"/>
    <m/>
    <x v="0"/>
    <x v="0"/>
  </r>
  <r>
    <s v="PH-PRJ-062-02"/>
    <x v="61"/>
    <x v="1"/>
    <d v="2025-06-22T00:00:00"/>
    <d v="2025-10-05T00:00:00"/>
    <d v="2025-06-22T00:00:00"/>
    <d v="2025-10-05T00:00:00"/>
    <s v="Completed"/>
    <n v="100"/>
    <n v="6222143"/>
    <m/>
    <s v="2025-06-22T08:38:00"/>
    <s v="2025-06-22T08:38:00"/>
    <s v="system@alrashdeng.ae"/>
    <n v="1"/>
    <b v="1"/>
    <m/>
    <n v="0"/>
    <m/>
    <x v="0"/>
    <x v="0"/>
  </r>
  <r>
    <s v="PH-PRJ-062-03"/>
    <x v="61"/>
    <x v="2"/>
    <d v="2025-10-05T00:00:00"/>
    <d v="2026-02-08T00:00:00"/>
    <d v="2025-10-05T00:00:00"/>
    <d v="2026-02-08T00:00:00"/>
    <s v="Completed"/>
    <n v="100"/>
    <n v="7466571"/>
    <m/>
    <s v="2025-10-05T13:27:00"/>
    <s v="2025-10-05T13:27:00"/>
    <s v="system@alrashdeng.ae"/>
    <n v="1"/>
    <b v="1"/>
    <s v="Critical Phase"/>
    <n v="0"/>
    <m/>
    <x v="0"/>
    <x v="0"/>
  </r>
  <r>
    <s v="PH-PRJ-062-04"/>
    <x v="61"/>
    <x v="3"/>
    <d v="2026-02-08T00:00:00"/>
    <d v="2026-07-15T00:00:00"/>
    <d v="2026-02-08T00:00:00"/>
    <m/>
    <s v="In Progress"/>
    <n v="45"/>
    <n v="9333214"/>
    <m/>
    <s v="2026-02-08T16:22:00"/>
    <s v="2026-02-08T16:22:00"/>
    <s v="system@alrashdeng.ae"/>
    <n v="1"/>
    <b v="1"/>
    <m/>
    <m/>
    <n v="76"/>
    <x v="1"/>
    <x v="8"/>
  </r>
  <r>
    <s v="PH-PRJ-062-05"/>
    <x v="61"/>
    <x v="4"/>
    <d v="2026-07-15T00:00:00"/>
    <d v="2027-04-03T00:00:00"/>
    <m/>
    <m/>
    <s v="Not Started"/>
    <n v="0"/>
    <n v="15555357"/>
    <m/>
    <s v="2026-07-15T12:57:00"/>
    <s v="2026-07-15T12:57:00"/>
    <s v="system@alrashdeng.ae"/>
    <n v="1"/>
    <b v="1"/>
    <s v="Critical Phase"/>
    <m/>
    <n v="-186"/>
    <x v="0"/>
    <x v="0"/>
  </r>
  <r>
    <s v="PH-PRJ-062-06"/>
    <x v="61"/>
    <x v="5"/>
    <d v="2027-04-03T00:00:00"/>
    <d v="2027-07-17T00:00:00"/>
    <m/>
    <m/>
    <s v="Not Started"/>
    <n v="0"/>
    <n v="6222143"/>
    <m/>
    <s v="2027-04-03T17:52:00"/>
    <s v="2027-04-03T17:52:00"/>
    <s v="system@alrashdeng.ae"/>
    <n v="1"/>
    <b v="1"/>
    <m/>
    <m/>
    <n v="-291"/>
    <x v="0"/>
    <x v="0"/>
  </r>
  <r>
    <s v="PH-PRJ-062-07"/>
    <x v="61"/>
    <x v="6"/>
    <d v="2027-07-17T00:00:00"/>
    <d v="2027-10-09T00:00:00"/>
    <m/>
    <m/>
    <s v="Not Started"/>
    <n v="0"/>
    <n v="4977714"/>
    <m/>
    <s v="2027-07-17T08:28:00"/>
    <s v="2027-07-17T08:28:00"/>
    <s v="system@alrashdeng.ae"/>
    <n v="1"/>
    <b v="1"/>
    <m/>
    <m/>
    <n v="-375"/>
    <x v="0"/>
    <x v="0"/>
  </r>
  <r>
    <s v="PH-PRJ-062-08"/>
    <x v="61"/>
    <x v="7"/>
    <d v="2027-10-09T00:00:00"/>
    <d v="2028-01-22T00:00:00"/>
    <m/>
    <m/>
    <s v="Not Started"/>
    <n v="0"/>
    <n v="6222143"/>
    <m/>
    <s v="2027-10-09T09:56:00"/>
    <s v="2027-10-09T09:56:00"/>
    <s v="system@alrashdeng.ae"/>
    <n v="1"/>
    <b v="1"/>
    <m/>
    <m/>
    <n v="-480"/>
    <x v="0"/>
    <x v="0"/>
  </r>
  <r>
    <s v="PH-PRJ-062-09"/>
    <x v="61"/>
    <x v="8"/>
    <d v="2028-01-22T00:00:00"/>
    <d v="2028-02-22T00:00:00"/>
    <m/>
    <m/>
    <s v="Not Started"/>
    <n v="0"/>
    <n v="1866642"/>
    <m/>
    <s v="2028-01-22T07:32:00"/>
    <s v="2028-01-22T07:32:00"/>
    <s v="system@alrashdeng.ae"/>
    <n v="1"/>
    <b v="1"/>
    <m/>
    <m/>
    <n v="-511"/>
    <x v="0"/>
    <x v="0"/>
  </r>
  <r>
    <s v="PH-PRJ-062-10"/>
    <x v="61"/>
    <x v="9"/>
    <d v="2028-02-22T00:00:00"/>
    <d v="2028-03-14T00:00:00"/>
    <m/>
    <m/>
    <s v="Not Started"/>
    <n v="0"/>
    <n v="1244428"/>
    <m/>
    <s v="2028-02-22T11:37:00"/>
    <s v="2028-02-22T11:37:00"/>
    <s v="system@alrashdeng.ae"/>
    <n v="1"/>
    <b v="1"/>
    <m/>
    <m/>
    <n v="-532"/>
    <x v="0"/>
    <x v="0"/>
  </r>
  <r>
    <s v="PH-PRJ-063-01"/>
    <x v="62"/>
    <x v="0"/>
    <d v="2025-04-06T00:00:00"/>
    <d v="2025-06-15T00:00:00"/>
    <d v="2025-04-06T00:00:00"/>
    <d v="2025-06-15T00:00:00"/>
    <s v="Completed"/>
    <n v="100"/>
    <n v="21289660"/>
    <m/>
    <s v="2025-04-06T13:18:00"/>
    <s v="2025-04-06T13:18:00"/>
    <s v="system@alrashdeng.ae"/>
    <n v="1"/>
    <b v="1"/>
    <m/>
    <n v="0"/>
    <m/>
    <x v="0"/>
    <x v="0"/>
  </r>
  <r>
    <s v="PH-PRJ-063-02"/>
    <x v="62"/>
    <x v="1"/>
    <d v="2025-06-15T00:00:00"/>
    <d v="2025-11-03T00:00:00"/>
    <d v="2025-06-15T00:00:00"/>
    <d v="2025-11-03T00:00:00"/>
    <s v="Completed"/>
    <n v="100"/>
    <n v="42579320"/>
    <m/>
    <s v="2025-06-15T16:52:00"/>
    <s v="2025-06-15T16:52:00"/>
    <s v="system@alrashdeng.ae"/>
    <n v="1"/>
    <b v="1"/>
    <m/>
    <n v="0"/>
    <m/>
    <x v="0"/>
    <x v="0"/>
  </r>
  <r>
    <s v="PH-PRJ-063-03"/>
    <x v="62"/>
    <x v="2"/>
    <d v="2025-11-03T00:00:00"/>
    <d v="2026-04-21T00:00:00"/>
    <d v="2025-11-03T00:00:00"/>
    <m/>
    <s v="In Progress"/>
    <n v="87"/>
    <n v="51095184"/>
    <m/>
    <s v="2025-11-03T12:25:00"/>
    <s v="2025-11-03T12:25:00"/>
    <s v="system@alrashdeng.ae"/>
    <n v="1"/>
    <b v="1"/>
    <s v="Critical Phase"/>
    <m/>
    <n v="161"/>
    <x v="1"/>
    <x v="28"/>
  </r>
  <r>
    <s v="PH-PRJ-063-04"/>
    <x v="62"/>
    <x v="3"/>
    <d v="2026-04-21T00:00:00"/>
    <d v="2026-11-18T00:00:00"/>
    <m/>
    <m/>
    <s v="Not Started"/>
    <n v="0"/>
    <n v="63868980"/>
    <m/>
    <s v="2026-04-21T07:07:00"/>
    <s v="2026-04-21T07:07:00"/>
    <s v="system@alrashdeng.ae"/>
    <n v="1"/>
    <b v="1"/>
    <m/>
    <m/>
    <n v="-50"/>
    <x v="0"/>
    <x v="0"/>
  </r>
  <r>
    <s v="PH-PRJ-063-05"/>
    <x v="62"/>
    <x v="4"/>
    <d v="2026-11-18T00:00:00"/>
    <d v="2027-11-05T00:00:00"/>
    <m/>
    <m/>
    <s v="Not Started"/>
    <n v="0"/>
    <n v="106448300"/>
    <m/>
    <s v="2026-11-18T09:51:00"/>
    <s v="2026-11-18T09:51:00"/>
    <s v="system@alrashdeng.ae"/>
    <n v="1"/>
    <b v="1"/>
    <s v="Critical Phase"/>
    <m/>
    <n v="-402"/>
    <x v="0"/>
    <x v="0"/>
  </r>
  <r>
    <s v="PH-PRJ-063-06"/>
    <x v="62"/>
    <x v="5"/>
    <d v="2027-11-05T00:00:00"/>
    <d v="2028-03-25T00:00:00"/>
    <m/>
    <m/>
    <s v="Not Started"/>
    <n v="0"/>
    <n v="42579320"/>
    <m/>
    <s v="2027-11-05T12:27:00"/>
    <s v="2027-11-05T12:27:00"/>
    <s v="system@alrashdeng.ae"/>
    <n v="1"/>
    <b v="1"/>
    <m/>
    <m/>
    <n v="-543"/>
    <x v="0"/>
    <x v="0"/>
  </r>
  <r>
    <s v="PH-PRJ-063-07"/>
    <x v="62"/>
    <x v="6"/>
    <d v="2028-03-25T00:00:00"/>
    <d v="2028-07-15T00:00:00"/>
    <m/>
    <m/>
    <s v="Not Started"/>
    <n v="0"/>
    <n v="34063456"/>
    <m/>
    <s v="2028-03-25T09:22:00"/>
    <s v="2028-03-25T09:22:00"/>
    <s v="system@alrashdeng.ae"/>
    <n v="1"/>
    <b v="1"/>
    <m/>
    <m/>
    <n v="-655"/>
    <x v="0"/>
    <x v="0"/>
  </r>
  <r>
    <s v="PH-PRJ-063-08"/>
    <x v="62"/>
    <x v="7"/>
    <d v="2028-07-15T00:00:00"/>
    <d v="2028-12-03T00:00:00"/>
    <m/>
    <m/>
    <s v="Not Started"/>
    <n v="0"/>
    <n v="42579320"/>
    <m/>
    <s v="2028-07-15T10:04:00"/>
    <s v="2028-07-15T10:04:00"/>
    <s v="system@alrashdeng.ae"/>
    <n v="1"/>
    <b v="1"/>
    <m/>
    <m/>
    <n v="-796"/>
    <x v="0"/>
    <x v="0"/>
  </r>
  <r>
    <s v="PH-PRJ-063-09"/>
    <x v="62"/>
    <x v="8"/>
    <d v="2028-12-03T00:00:00"/>
    <d v="2029-01-14T00:00:00"/>
    <m/>
    <m/>
    <s v="Not Started"/>
    <n v="0"/>
    <n v="12773796"/>
    <m/>
    <s v="2028-12-03T10:42:00"/>
    <s v="2028-12-03T10:42:00"/>
    <s v="system@alrashdeng.ae"/>
    <n v="1"/>
    <b v="1"/>
    <m/>
    <m/>
    <n v="-838"/>
    <x v="0"/>
    <x v="0"/>
  </r>
  <r>
    <s v="PH-PRJ-063-10"/>
    <x v="62"/>
    <x v="9"/>
    <d v="2029-01-14T00:00:00"/>
    <d v="2029-02-11T00:00:00"/>
    <m/>
    <m/>
    <s v="Not Started"/>
    <n v="0"/>
    <n v="8515864"/>
    <m/>
    <s v="2029-01-14T12:23:00"/>
    <s v="2029-01-14T12:23:00"/>
    <s v="system@alrashdeng.ae"/>
    <n v="1"/>
    <b v="1"/>
    <m/>
    <m/>
    <n v="-866"/>
    <x v="0"/>
    <x v="0"/>
  </r>
  <r>
    <s v="PH-PRJ-064-01"/>
    <x v="63"/>
    <x v="0"/>
    <d v="2024-05-18T00:00:00"/>
    <d v="2024-06-26T00:00:00"/>
    <d v="2024-05-18T00:00:00"/>
    <d v="2024-06-26T00:00:00"/>
    <s v="Completed"/>
    <n v="100"/>
    <n v="12238189"/>
    <m/>
    <s v="2024-05-18T09:49:00"/>
    <s v="2024-05-18T09:49:00"/>
    <s v="system@alrashdeng.ae"/>
    <n v="1"/>
    <b v="1"/>
    <m/>
    <n v="0"/>
    <m/>
    <x v="0"/>
    <x v="0"/>
  </r>
  <r>
    <s v="PH-PRJ-064-02"/>
    <x v="63"/>
    <x v="1"/>
    <d v="2024-06-26T00:00:00"/>
    <d v="2024-09-12T00:00:00"/>
    <d v="2024-06-26T00:00:00"/>
    <d v="2024-09-12T00:00:00"/>
    <s v="Completed"/>
    <n v="100"/>
    <n v="24476379"/>
    <m/>
    <s v="2024-06-26T12:07:00"/>
    <s v="2024-06-26T12:07:00"/>
    <s v="system@alrashdeng.ae"/>
    <n v="1"/>
    <b v="1"/>
    <m/>
    <n v="0"/>
    <m/>
    <x v="0"/>
    <x v="0"/>
  </r>
  <r>
    <s v="PH-PRJ-064-03"/>
    <x v="63"/>
    <x v="2"/>
    <d v="2024-09-12T00:00:00"/>
    <d v="2024-12-14T00:00:00"/>
    <d v="2024-09-12T00:00:00"/>
    <d v="2024-12-14T00:00:00"/>
    <s v="Completed"/>
    <n v="100"/>
    <n v="29371655"/>
    <m/>
    <s v="2024-09-12T07:20:00"/>
    <s v="2024-09-12T07:20:00"/>
    <s v="system@alrashdeng.ae"/>
    <n v="1"/>
    <b v="1"/>
    <s v="Critical Phase"/>
    <n v="0"/>
    <m/>
    <x v="0"/>
    <x v="0"/>
  </r>
  <r>
    <s v="PH-PRJ-064-04"/>
    <x v="63"/>
    <x v="3"/>
    <d v="2024-12-14T00:00:00"/>
    <d v="2025-04-10T00:00:00"/>
    <d v="2024-12-14T00:00:00"/>
    <d v="2025-04-10T00:00:00"/>
    <s v="Completed"/>
    <n v="100"/>
    <n v="36714569"/>
    <m/>
    <s v="2024-12-14T07:45:00"/>
    <s v="2024-12-14T07:45:00"/>
    <s v="system@alrashdeng.ae"/>
    <n v="1"/>
    <b v="1"/>
    <m/>
    <n v="0"/>
    <m/>
    <x v="0"/>
    <x v="0"/>
  </r>
  <r>
    <s v="PH-PRJ-064-05"/>
    <x v="63"/>
    <x v="4"/>
    <d v="2025-04-10T00:00:00"/>
    <d v="2025-10-22T00:00:00"/>
    <d v="2025-04-10T00:00:00"/>
    <d v="2025-10-22T00:00:00"/>
    <s v="Completed"/>
    <n v="100"/>
    <n v="61190949"/>
    <m/>
    <s v="2025-04-10T12:13:00"/>
    <s v="2025-04-10T12:13:00"/>
    <s v="system@alrashdeng.ae"/>
    <n v="1"/>
    <b v="1"/>
    <s v="Critical Phase"/>
    <n v="0"/>
    <m/>
    <x v="0"/>
    <x v="0"/>
  </r>
  <r>
    <s v="PH-PRJ-064-06"/>
    <x v="63"/>
    <x v="5"/>
    <d v="2025-10-22T00:00:00"/>
    <d v="2026-01-08T00:00:00"/>
    <d v="2025-10-22T00:00:00"/>
    <d v="2026-01-08T00:00:00"/>
    <s v="Completed"/>
    <n v="100"/>
    <n v="24476379"/>
    <m/>
    <s v="2025-10-22T14:36:00"/>
    <s v="2025-10-22T14:36:00"/>
    <s v="system@alrashdeng.ae"/>
    <n v="1"/>
    <b v="1"/>
    <m/>
    <n v="0"/>
    <m/>
    <x v="0"/>
    <x v="0"/>
  </r>
  <r>
    <s v="PH-PRJ-064-07"/>
    <x v="63"/>
    <x v="6"/>
    <d v="2026-01-08T00:00:00"/>
    <d v="2026-03-11T00:00:00"/>
    <d v="2026-01-08T00:00:00"/>
    <m/>
    <s v="In Progress"/>
    <n v="61"/>
    <n v="19581103"/>
    <m/>
    <s v="2026-01-08T10:35:00"/>
    <s v="2026-01-08T10:35:00"/>
    <s v="system@alrashdeng.ae"/>
    <n v="1"/>
    <b v="1"/>
    <m/>
    <m/>
    <n v="202"/>
    <x v="1"/>
    <x v="34"/>
  </r>
  <r>
    <s v="PH-PRJ-064-08"/>
    <x v="63"/>
    <x v="7"/>
    <d v="2026-03-11T00:00:00"/>
    <d v="2026-05-28T00:00:00"/>
    <m/>
    <m/>
    <s v="Not Started"/>
    <n v="0"/>
    <n v="24476379"/>
    <m/>
    <s v="2026-03-11T08:24:00"/>
    <s v="2026-03-11T08:24:00"/>
    <s v="system@alrashdeng.ae"/>
    <n v="1"/>
    <b v="1"/>
    <m/>
    <m/>
    <n v="124"/>
    <x v="1"/>
    <x v="35"/>
  </r>
  <r>
    <s v="PH-PRJ-064-09"/>
    <x v="63"/>
    <x v="8"/>
    <d v="2026-05-28T00:00:00"/>
    <d v="2026-06-20T00:00:00"/>
    <m/>
    <m/>
    <s v="Not Started"/>
    <n v="0"/>
    <n v="7342913"/>
    <m/>
    <s v="2026-05-28T11:38:00"/>
    <s v="2026-05-28T11:38:00"/>
    <s v="system@alrashdeng.ae"/>
    <n v="1"/>
    <b v="1"/>
    <m/>
    <m/>
    <n v="101"/>
    <x v="1"/>
    <x v="36"/>
  </r>
  <r>
    <s v="PH-PRJ-064-10"/>
    <x v="63"/>
    <x v="9"/>
    <d v="2026-06-20T00:00:00"/>
    <d v="2026-07-05T00:00:00"/>
    <m/>
    <m/>
    <s v="Not Started"/>
    <n v="0"/>
    <n v="4895275"/>
    <m/>
    <s v="2026-06-20T10:33:00"/>
    <s v="2026-06-20T10:33:00"/>
    <s v="system@alrashdeng.ae"/>
    <n v="1"/>
    <b v="1"/>
    <m/>
    <m/>
    <n v="86"/>
    <x v="1"/>
    <x v="37"/>
  </r>
  <r>
    <s v="PH-PRJ-065-01"/>
    <x v="64"/>
    <x v="0"/>
    <d v="2020-09-06T00:00:00"/>
    <d v="2020-10-01T00:00:00"/>
    <d v="2020-09-06T00:00:00"/>
    <d v="2020-10-01T00:00:00"/>
    <s v="Completed"/>
    <n v="100"/>
    <n v="22349095"/>
    <m/>
    <s v="2020-09-06T10:06:00"/>
    <s v="2020-09-06T10:06:00"/>
    <s v="system@alrashdeng.ae"/>
    <n v="1"/>
    <b v="1"/>
    <m/>
    <n v="0"/>
    <m/>
    <x v="0"/>
    <x v="0"/>
  </r>
  <r>
    <s v="PH-PRJ-065-02"/>
    <x v="64"/>
    <x v="1"/>
    <d v="2020-10-01T00:00:00"/>
    <d v="2020-11-21T00:00:00"/>
    <d v="2020-10-01T00:00:00"/>
    <d v="2020-11-21T00:00:00"/>
    <s v="Completed"/>
    <n v="100"/>
    <n v="44698191"/>
    <m/>
    <s v="2020-10-01T15:17:00"/>
    <s v="2020-10-01T15:17:00"/>
    <s v="system@alrashdeng.ae"/>
    <n v="1"/>
    <b v="1"/>
    <m/>
    <n v="0"/>
    <m/>
    <x v="0"/>
    <x v="0"/>
  </r>
  <r>
    <s v="PH-PRJ-065-03"/>
    <x v="64"/>
    <x v="2"/>
    <d v="2020-11-21T00:00:00"/>
    <d v="2021-01-21T00:00:00"/>
    <d v="2020-11-21T00:00:00"/>
    <d v="2021-01-21T00:00:00"/>
    <s v="Completed"/>
    <n v="100"/>
    <n v="53637829"/>
    <m/>
    <s v="2020-11-21T16:56:00"/>
    <s v="2020-11-21T16:56:00"/>
    <s v="system@alrashdeng.ae"/>
    <n v="1"/>
    <b v="1"/>
    <s v="Critical Phase"/>
    <n v="0"/>
    <m/>
    <x v="0"/>
    <x v="0"/>
  </r>
  <r>
    <s v="PH-PRJ-065-04"/>
    <x v="64"/>
    <x v="3"/>
    <d v="2021-01-21T00:00:00"/>
    <d v="2021-04-07T00:00:00"/>
    <d v="2021-01-21T00:00:00"/>
    <d v="2021-04-07T00:00:00"/>
    <s v="Completed"/>
    <n v="100"/>
    <n v="67047286"/>
    <m/>
    <s v="2021-01-21T17:04:00"/>
    <s v="2021-01-21T17:04:00"/>
    <s v="system@alrashdeng.ae"/>
    <n v="1"/>
    <b v="1"/>
    <m/>
    <n v="0"/>
    <m/>
    <x v="0"/>
    <x v="0"/>
  </r>
  <r>
    <s v="PH-PRJ-065-05"/>
    <x v="64"/>
    <x v="4"/>
    <d v="2021-04-07T00:00:00"/>
    <d v="2021-08-12T00:00:00"/>
    <d v="2021-04-07T00:00:00"/>
    <d v="2021-08-12T00:00:00"/>
    <s v="Completed"/>
    <n v="100"/>
    <n v="111745478"/>
    <m/>
    <s v="2021-04-07T16:57:00"/>
    <s v="2021-04-07T16:57:00"/>
    <s v="system@alrashdeng.ae"/>
    <n v="1"/>
    <b v="1"/>
    <s v="Critical Phase"/>
    <n v="0"/>
    <m/>
    <x v="0"/>
    <x v="0"/>
  </r>
  <r>
    <s v="PH-PRJ-065-06"/>
    <x v="64"/>
    <x v="5"/>
    <d v="2021-08-12T00:00:00"/>
    <d v="2021-10-02T00:00:00"/>
    <d v="2021-08-12T00:00:00"/>
    <d v="2021-10-02T00:00:00"/>
    <s v="Completed"/>
    <n v="100"/>
    <n v="44698191"/>
    <m/>
    <s v="2021-08-12T17:26:00"/>
    <s v="2021-08-12T17:26:00"/>
    <s v="system@alrashdeng.ae"/>
    <n v="1"/>
    <b v="1"/>
    <m/>
    <n v="0"/>
    <m/>
    <x v="0"/>
    <x v="0"/>
  </r>
  <r>
    <s v="PH-PRJ-065-07"/>
    <x v="64"/>
    <x v="6"/>
    <d v="2021-10-02T00:00:00"/>
    <d v="2021-11-11T00:00:00"/>
    <d v="2021-10-02T00:00:00"/>
    <d v="2021-11-11T00:00:00"/>
    <s v="Completed"/>
    <n v="100"/>
    <n v="35758552"/>
    <m/>
    <s v="2021-10-02T17:48:00"/>
    <s v="2021-10-02T17:48:00"/>
    <s v="system@alrashdeng.ae"/>
    <n v="1"/>
    <b v="1"/>
    <m/>
    <n v="0"/>
    <m/>
    <x v="0"/>
    <x v="0"/>
  </r>
  <r>
    <s v="PH-PRJ-065-08"/>
    <x v="64"/>
    <x v="7"/>
    <d v="2021-11-11T00:00:00"/>
    <d v="2022-01-01T00:00:00"/>
    <d v="2021-11-11T00:00:00"/>
    <d v="2022-01-01T00:00:00"/>
    <s v="Completed"/>
    <n v="100"/>
    <n v="44698191"/>
    <m/>
    <s v="2021-11-11T13:20:00"/>
    <s v="2021-11-11T13:20:00"/>
    <s v="system@alrashdeng.ae"/>
    <n v="1"/>
    <b v="1"/>
    <m/>
    <n v="0"/>
    <m/>
    <x v="0"/>
    <x v="0"/>
  </r>
  <r>
    <s v="PH-PRJ-065-09"/>
    <x v="64"/>
    <x v="8"/>
    <d v="2022-01-01T00:00:00"/>
    <d v="2022-01-16T00:00:00"/>
    <d v="2022-01-01T00:00:00"/>
    <d v="2022-01-16T00:00:00"/>
    <s v="Completed"/>
    <n v="100"/>
    <n v="13409457"/>
    <m/>
    <s v="2022-01-01T12:12:00"/>
    <s v="2022-01-01T12:12:00"/>
    <s v="system@alrashdeng.ae"/>
    <n v="1"/>
    <b v="1"/>
    <m/>
    <n v="0"/>
    <m/>
    <x v="0"/>
    <x v="0"/>
  </r>
  <r>
    <s v="PH-PRJ-065-10"/>
    <x v="64"/>
    <x v="9"/>
    <d v="2022-01-16T00:00:00"/>
    <d v="2022-01-26T00:00:00"/>
    <d v="2022-01-16T00:00:00"/>
    <d v="2022-01-26T00:00:00"/>
    <s v="Completed"/>
    <n v="100"/>
    <n v="8939638"/>
    <m/>
    <s v="2022-01-16T10:03:00"/>
    <s v="2022-01-16T10:03:00"/>
    <s v="system@alrashdeng.ae"/>
    <n v="1"/>
    <b v="1"/>
    <m/>
    <n v="0"/>
    <m/>
    <x v="0"/>
    <x v="0"/>
  </r>
  <r>
    <s v="PH-PRJ-066-01"/>
    <x v="65"/>
    <x v="0"/>
    <d v="2022-04-17T00:00:00"/>
    <d v="2022-06-23T00:00:00"/>
    <d v="2022-04-17T00:00:00"/>
    <d v="2022-06-23T00:00:00"/>
    <s v="Completed"/>
    <n v="100"/>
    <n v="7939849"/>
    <m/>
    <s v="2022-04-17T14:31:00"/>
    <s v="2022-04-17T14:31:00"/>
    <s v="system@alrashdeng.ae"/>
    <n v="1"/>
    <b v="1"/>
    <m/>
    <n v="0"/>
    <m/>
    <x v="0"/>
    <x v="0"/>
  </r>
  <r>
    <s v="PH-PRJ-066-02"/>
    <x v="65"/>
    <x v="1"/>
    <d v="2022-06-23T00:00:00"/>
    <d v="2022-11-05T00:00:00"/>
    <d v="2022-06-23T00:00:00"/>
    <d v="2022-11-05T00:00:00"/>
    <s v="Completed"/>
    <n v="100"/>
    <n v="15879699"/>
    <m/>
    <s v="2022-06-23T07:17:00"/>
    <s v="2022-06-23T07:17:00"/>
    <s v="system@alrashdeng.ae"/>
    <n v="1"/>
    <b v="1"/>
    <m/>
    <n v="0"/>
    <m/>
    <x v="0"/>
    <x v="0"/>
  </r>
  <r>
    <s v="PH-PRJ-066-03"/>
    <x v="65"/>
    <x v="2"/>
    <d v="2022-11-05T00:00:00"/>
    <d v="2023-04-16T00:00:00"/>
    <d v="2022-11-05T00:00:00"/>
    <d v="2023-04-16T00:00:00"/>
    <s v="Completed"/>
    <n v="100"/>
    <n v="19055639"/>
    <m/>
    <s v="2022-11-05T13:07:00"/>
    <s v="2022-11-05T13:07:00"/>
    <s v="system@alrashdeng.ae"/>
    <n v="1"/>
    <b v="1"/>
    <s v="Critical Phase"/>
    <n v="0"/>
    <m/>
    <x v="0"/>
    <x v="0"/>
  </r>
  <r>
    <s v="PH-PRJ-066-04"/>
    <x v="65"/>
    <x v="3"/>
    <d v="2023-04-16T00:00:00"/>
    <d v="2023-11-04T00:00:00"/>
    <d v="2023-04-16T00:00:00"/>
    <d v="2023-11-04T00:00:00"/>
    <s v="Completed"/>
    <n v="100"/>
    <n v="23819549"/>
    <m/>
    <s v="2023-04-16T08:28:00"/>
    <s v="2023-04-16T08:28:00"/>
    <s v="system@alrashdeng.ae"/>
    <n v="1"/>
    <b v="1"/>
    <m/>
    <n v="0"/>
    <m/>
    <x v="0"/>
    <x v="0"/>
  </r>
  <r>
    <s v="PH-PRJ-066-05"/>
    <x v="65"/>
    <x v="4"/>
    <d v="2023-11-04T00:00:00"/>
    <d v="2024-10-06T00:00:00"/>
    <d v="2023-11-04T00:00:00"/>
    <d v="2024-10-06T00:00:00"/>
    <s v="Completed"/>
    <n v="100"/>
    <n v="39699249"/>
    <m/>
    <s v="2023-11-04T09:38:00"/>
    <s v="2023-11-04T09:38:00"/>
    <s v="system@alrashdeng.ae"/>
    <n v="1"/>
    <b v="1"/>
    <s v="Critical Phase"/>
    <n v="0"/>
    <m/>
    <x v="0"/>
    <x v="0"/>
  </r>
  <r>
    <s v="PH-PRJ-066-06"/>
    <x v="65"/>
    <x v="5"/>
    <d v="2024-10-06T00:00:00"/>
    <d v="2025-02-18T00:00:00"/>
    <d v="2024-10-06T00:00:00"/>
    <d v="2025-02-18T00:00:00"/>
    <s v="Completed"/>
    <n v="100"/>
    <n v="15879699"/>
    <m/>
    <s v="2024-10-06T12:37:00"/>
    <s v="2024-10-06T12:37:00"/>
    <s v="system@alrashdeng.ae"/>
    <n v="1"/>
    <b v="1"/>
    <m/>
    <n v="0"/>
    <m/>
    <x v="0"/>
    <x v="0"/>
  </r>
  <r>
    <s v="PH-PRJ-066-07"/>
    <x v="65"/>
    <x v="6"/>
    <d v="2025-02-18T00:00:00"/>
    <d v="2025-06-06T00:00:00"/>
    <d v="2025-02-18T00:00:00"/>
    <d v="2025-06-06T00:00:00"/>
    <s v="Completed"/>
    <n v="100"/>
    <n v="12703759"/>
    <m/>
    <s v="2025-02-18T13:15:00"/>
    <s v="2025-02-18T13:15:00"/>
    <s v="system@alrashdeng.ae"/>
    <n v="1"/>
    <b v="1"/>
    <m/>
    <n v="0"/>
    <m/>
    <x v="0"/>
    <x v="0"/>
  </r>
  <r>
    <s v="PH-PRJ-066-08"/>
    <x v="65"/>
    <x v="7"/>
    <d v="2025-06-06T00:00:00"/>
    <d v="2025-10-19T00:00:00"/>
    <d v="2025-06-06T00:00:00"/>
    <d v="2025-10-19T00:00:00"/>
    <s v="Completed"/>
    <n v="100"/>
    <n v="15879699"/>
    <m/>
    <s v="2025-06-06T16:01:00"/>
    <s v="2025-06-06T16:01:00"/>
    <s v="system@alrashdeng.ae"/>
    <n v="1"/>
    <b v="1"/>
    <m/>
    <n v="0"/>
    <m/>
    <x v="0"/>
    <x v="0"/>
  </r>
  <r>
    <s v="PH-PRJ-066-09"/>
    <x v="65"/>
    <x v="8"/>
    <d v="2025-10-19T00:00:00"/>
    <d v="2025-11-28T00:00:00"/>
    <d v="2025-10-19T00:00:00"/>
    <d v="2025-11-28T00:00:00"/>
    <s v="Completed"/>
    <n v="100"/>
    <n v="4763909"/>
    <m/>
    <s v="2025-10-19T11:01:00"/>
    <s v="2025-10-19T11:01:00"/>
    <s v="system@alrashdeng.ae"/>
    <n v="1"/>
    <b v="1"/>
    <m/>
    <n v="0"/>
    <m/>
    <x v="0"/>
    <x v="0"/>
  </r>
  <r>
    <s v="PH-PRJ-066-10"/>
    <x v="65"/>
    <x v="9"/>
    <d v="2025-11-28T00:00:00"/>
    <d v="2025-12-25T00:00:00"/>
    <d v="2025-11-28T00:00:00"/>
    <d v="2025-12-25T00:00:00"/>
    <s v="Completed"/>
    <n v="100"/>
    <n v="3175939"/>
    <m/>
    <s v="2025-11-28T17:50:00"/>
    <s v="2025-11-28T17:50:00"/>
    <s v="system@alrashdeng.ae"/>
    <n v="1"/>
    <b v="1"/>
    <m/>
    <n v="0"/>
    <m/>
    <x v="0"/>
    <x v="0"/>
  </r>
  <r>
    <s v="PH-PRJ-067-01"/>
    <x v="66"/>
    <x v="0"/>
    <d v="2025-05-08T00:00:00"/>
    <d v="2025-05-29T00:00:00"/>
    <d v="2025-05-08T00:00:00"/>
    <d v="2025-05-29T00:00:00"/>
    <s v="Completed"/>
    <n v="100"/>
    <n v="21294251"/>
    <m/>
    <s v="2025-05-08T16:00:00"/>
    <s v="2025-05-08T16:00:00"/>
    <s v="system@alrashdeng.ae"/>
    <n v="1"/>
    <b v="1"/>
    <m/>
    <n v="0"/>
    <m/>
    <x v="0"/>
    <x v="0"/>
  </r>
  <r>
    <s v="PH-PRJ-067-02"/>
    <x v="66"/>
    <x v="1"/>
    <d v="2025-05-29T00:00:00"/>
    <d v="2025-07-10T00:00:00"/>
    <d v="2025-05-29T00:00:00"/>
    <d v="2025-07-10T00:00:00"/>
    <s v="Completed"/>
    <n v="100"/>
    <n v="42588502"/>
    <m/>
    <s v="2025-05-29T14:18:00"/>
    <s v="2025-05-29T14:18:00"/>
    <s v="system@alrashdeng.ae"/>
    <n v="1"/>
    <b v="1"/>
    <m/>
    <n v="0"/>
    <m/>
    <x v="0"/>
    <x v="0"/>
  </r>
  <r>
    <s v="PH-PRJ-067-03"/>
    <x v="66"/>
    <x v="2"/>
    <d v="2025-07-10T00:00:00"/>
    <d v="2025-08-29T00:00:00"/>
    <d v="2025-07-10T00:00:00"/>
    <d v="2025-08-29T00:00:00"/>
    <s v="Completed"/>
    <n v="100"/>
    <n v="51106202"/>
    <m/>
    <s v="2025-07-10T09:53:00"/>
    <s v="2025-07-10T09:53:00"/>
    <s v="system@alrashdeng.ae"/>
    <n v="1"/>
    <b v="1"/>
    <s v="Critical Phase"/>
    <n v="0"/>
    <m/>
    <x v="0"/>
    <x v="0"/>
  </r>
  <r>
    <s v="PH-PRJ-067-04"/>
    <x v="66"/>
    <x v="3"/>
    <d v="2025-08-29T00:00:00"/>
    <d v="2025-10-31T00:00:00"/>
    <d v="2025-08-29T00:00:00"/>
    <d v="2025-10-31T00:00:00"/>
    <s v="Completed"/>
    <n v="100"/>
    <n v="63882753"/>
    <m/>
    <s v="2025-08-29T13:02:00"/>
    <s v="2025-08-29T13:02:00"/>
    <s v="system@alrashdeng.ae"/>
    <n v="1"/>
    <b v="1"/>
    <m/>
    <n v="0"/>
    <m/>
    <x v="0"/>
    <x v="0"/>
  </r>
  <r>
    <s v="PH-PRJ-067-05"/>
    <x v="66"/>
    <x v="4"/>
    <d v="2025-10-31T00:00:00"/>
    <d v="2026-02-13T00:00:00"/>
    <d v="2025-10-31T00:00:00"/>
    <d v="2026-02-13T00:00:00"/>
    <s v="Completed"/>
    <n v="100"/>
    <n v="106471255"/>
    <m/>
    <s v="2025-10-31T15:58:00"/>
    <s v="2025-10-31T15:58:00"/>
    <s v="system@alrashdeng.ae"/>
    <n v="1"/>
    <b v="1"/>
    <s v="Critical Phase"/>
    <n v="0"/>
    <m/>
    <x v="0"/>
    <x v="0"/>
  </r>
  <r>
    <s v="PH-PRJ-067-06"/>
    <x v="66"/>
    <x v="5"/>
    <d v="2026-02-13T00:00:00"/>
    <d v="2026-03-27T00:00:00"/>
    <d v="2026-02-13T00:00:00"/>
    <m/>
    <s v="In Progress"/>
    <n v="87"/>
    <n v="42588502"/>
    <m/>
    <s v="2026-02-13T07:21:00"/>
    <s v="2026-02-13T07:21:00"/>
    <s v="system@alrashdeng.ae"/>
    <n v="1"/>
    <b v="1"/>
    <m/>
    <m/>
    <n v="186"/>
    <x v="1"/>
    <x v="38"/>
  </r>
  <r>
    <s v="PH-PRJ-067-07"/>
    <x v="66"/>
    <x v="6"/>
    <d v="2026-03-27T00:00:00"/>
    <d v="2026-04-29T00:00:00"/>
    <m/>
    <m/>
    <s v="Not Started"/>
    <n v="0"/>
    <n v="34070801"/>
    <m/>
    <s v="2026-03-27T17:01:00"/>
    <s v="2026-03-27T17:01:00"/>
    <s v="system@alrashdeng.ae"/>
    <n v="1"/>
    <b v="1"/>
    <m/>
    <m/>
    <n v="153"/>
    <x v="1"/>
    <x v="39"/>
  </r>
  <r>
    <s v="PH-PRJ-067-08"/>
    <x v="66"/>
    <x v="7"/>
    <d v="2026-04-29T00:00:00"/>
    <d v="2026-06-10T00:00:00"/>
    <m/>
    <m/>
    <s v="Not Started"/>
    <n v="0"/>
    <n v="42588502"/>
    <m/>
    <s v="2026-04-29T08:30:00"/>
    <s v="2026-04-29T08:30:00"/>
    <s v="system@alrashdeng.ae"/>
    <n v="1"/>
    <b v="1"/>
    <m/>
    <m/>
    <n v="111"/>
    <x v="1"/>
    <x v="40"/>
  </r>
  <r>
    <s v="PH-PRJ-067-09"/>
    <x v="66"/>
    <x v="8"/>
    <d v="2026-06-10T00:00:00"/>
    <d v="2026-06-22T00:00:00"/>
    <m/>
    <m/>
    <s v="Not Started"/>
    <n v="0"/>
    <n v="12776550"/>
    <m/>
    <s v="2026-06-10T08:53:00"/>
    <s v="2026-06-10T08:53:00"/>
    <s v="system@alrashdeng.ae"/>
    <n v="1"/>
    <b v="1"/>
    <m/>
    <m/>
    <n v="99"/>
    <x v="1"/>
    <x v="41"/>
  </r>
  <r>
    <s v="PH-PRJ-067-10"/>
    <x v="66"/>
    <x v="9"/>
    <d v="2026-06-22T00:00:00"/>
    <d v="2026-06-30T00:00:00"/>
    <m/>
    <m/>
    <s v="Not Started"/>
    <n v="0"/>
    <n v="8517700"/>
    <m/>
    <s v="2026-06-22T13:46:00"/>
    <s v="2026-06-22T13:46:00"/>
    <s v="system@alrashdeng.ae"/>
    <n v="1"/>
    <b v="1"/>
    <m/>
    <m/>
    <n v="91"/>
    <x v="1"/>
    <x v="42"/>
  </r>
  <r>
    <s v="PH-PRJ-068-01"/>
    <x v="67"/>
    <x v="0"/>
    <d v="2022-05-11T00:00:00"/>
    <d v="2022-07-05T00:00:00"/>
    <d v="2022-05-11T00:00:00"/>
    <d v="2022-07-05T00:00:00"/>
    <s v="Completed"/>
    <n v="100"/>
    <n v="11133741"/>
    <m/>
    <s v="2022-05-11T11:17:00"/>
    <s v="2022-05-11T11:17:00"/>
    <s v="system@alrashdeng.ae"/>
    <n v="1"/>
    <b v="1"/>
    <m/>
    <n v="0"/>
    <m/>
    <x v="0"/>
    <x v="0"/>
  </r>
  <r>
    <s v="PH-PRJ-068-02"/>
    <x v="67"/>
    <x v="1"/>
    <d v="2022-07-05T00:00:00"/>
    <d v="2022-10-24T00:00:00"/>
    <d v="2022-07-05T00:00:00"/>
    <d v="2022-10-24T00:00:00"/>
    <s v="Completed"/>
    <n v="100"/>
    <n v="22267483"/>
    <m/>
    <s v="2022-07-05T12:48:00"/>
    <s v="2022-07-05T12:48:00"/>
    <s v="system@alrashdeng.ae"/>
    <n v="1"/>
    <b v="1"/>
    <m/>
    <n v="0"/>
    <m/>
    <x v="0"/>
    <x v="0"/>
  </r>
  <r>
    <s v="PH-PRJ-068-03"/>
    <x v="67"/>
    <x v="2"/>
    <d v="2022-10-24T00:00:00"/>
    <d v="2023-03-06T00:00:00"/>
    <d v="2022-10-24T00:00:00"/>
    <d v="2023-03-06T00:00:00"/>
    <s v="Completed"/>
    <n v="100"/>
    <n v="26720979"/>
    <m/>
    <s v="2022-10-24T12:25:00"/>
    <s v="2022-10-24T12:25:00"/>
    <s v="system@alrashdeng.ae"/>
    <n v="1"/>
    <b v="1"/>
    <s v="Critical Phase"/>
    <n v="0"/>
    <m/>
    <x v="0"/>
    <x v="0"/>
  </r>
  <r>
    <s v="PH-PRJ-068-04"/>
    <x v="67"/>
    <x v="3"/>
    <d v="2023-03-06T00:00:00"/>
    <d v="2023-08-19T00:00:00"/>
    <d v="2023-03-06T00:00:00"/>
    <d v="2023-08-19T00:00:00"/>
    <s v="Completed"/>
    <n v="100"/>
    <n v="33401224"/>
    <m/>
    <s v="2023-03-06T08:35:00"/>
    <s v="2023-03-06T08:35:00"/>
    <s v="system@alrashdeng.ae"/>
    <n v="1"/>
    <b v="1"/>
    <m/>
    <n v="0"/>
    <m/>
    <x v="0"/>
    <x v="0"/>
  </r>
  <r>
    <s v="PH-PRJ-068-05"/>
    <x v="67"/>
    <x v="4"/>
    <d v="2023-08-19T00:00:00"/>
    <d v="2024-05-22T00:00:00"/>
    <d v="2023-08-19T00:00:00"/>
    <d v="2024-05-22T00:00:00"/>
    <s v="Completed"/>
    <n v="100"/>
    <n v="55668707"/>
    <m/>
    <s v="2023-08-19T12:31:00"/>
    <s v="2023-08-19T12:31:00"/>
    <s v="system@alrashdeng.ae"/>
    <n v="1"/>
    <b v="1"/>
    <s v="Critical Phase"/>
    <n v="0"/>
    <m/>
    <x v="0"/>
    <x v="0"/>
  </r>
  <r>
    <s v="PH-PRJ-068-06"/>
    <x v="67"/>
    <x v="5"/>
    <d v="2024-05-22T00:00:00"/>
    <d v="2024-09-10T00:00:00"/>
    <d v="2024-05-22T00:00:00"/>
    <d v="2024-09-10T00:00:00"/>
    <s v="Completed"/>
    <n v="100"/>
    <n v="22267483"/>
    <m/>
    <s v="2024-05-22T16:03:00"/>
    <s v="2024-05-22T16:03:00"/>
    <s v="system@alrashdeng.ae"/>
    <n v="1"/>
    <b v="1"/>
    <m/>
    <n v="0"/>
    <m/>
    <x v="0"/>
    <x v="0"/>
  </r>
  <r>
    <s v="PH-PRJ-068-07"/>
    <x v="67"/>
    <x v="6"/>
    <d v="2024-09-10T00:00:00"/>
    <d v="2024-12-07T00:00:00"/>
    <d v="2024-09-10T00:00:00"/>
    <d v="2024-12-07T00:00:00"/>
    <s v="Completed"/>
    <n v="100"/>
    <n v="17813986"/>
    <m/>
    <s v="2024-09-10T13:19:00"/>
    <s v="2024-09-10T13:19:00"/>
    <s v="system@alrashdeng.ae"/>
    <n v="1"/>
    <b v="1"/>
    <m/>
    <n v="0"/>
    <m/>
    <x v="0"/>
    <x v="0"/>
  </r>
  <r>
    <s v="PH-PRJ-068-08"/>
    <x v="67"/>
    <x v="7"/>
    <d v="2024-12-07T00:00:00"/>
    <d v="2025-03-28T00:00:00"/>
    <d v="2024-12-07T00:00:00"/>
    <d v="2025-03-28T00:00:00"/>
    <s v="Completed"/>
    <n v="100"/>
    <n v="22267483"/>
    <m/>
    <s v="2024-12-07T14:31:00"/>
    <s v="2024-12-07T14:31:00"/>
    <s v="system@alrashdeng.ae"/>
    <n v="1"/>
    <b v="1"/>
    <m/>
    <n v="0"/>
    <m/>
    <x v="0"/>
    <x v="0"/>
  </r>
  <r>
    <s v="PH-PRJ-068-09"/>
    <x v="67"/>
    <x v="8"/>
    <d v="2025-03-28T00:00:00"/>
    <d v="2025-04-30T00:00:00"/>
    <d v="2025-03-28T00:00:00"/>
    <d v="2025-04-30T00:00:00"/>
    <s v="Completed"/>
    <n v="100"/>
    <n v="6680244"/>
    <m/>
    <s v="2025-03-28T17:58:00"/>
    <s v="2025-03-28T17:58:00"/>
    <s v="system@alrashdeng.ae"/>
    <n v="1"/>
    <b v="1"/>
    <m/>
    <n v="0"/>
    <m/>
    <x v="0"/>
    <x v="0"/>
  </r>
  <r>
    <s v="PH-PRJ-068-10"/>
    <x v="67"/>
    <x v="9"/>
    <d v="2025-04-30T00:00:00"/>
    <d v="2025-05-22T00:00:00"/>
    <d v="2025-04-30T00:00:00"/>
    <d v="2025-05-22T00:00:00"/>
    <s v="Completed"/>
    <n v="100"/>
    <n v="4453496"/>
    <m/>
    <s v="2025-04-30T08:53:00"/>
    <s v="2025-04-30T08:53:00"/>
    <s v="system@alrashdeng.ae"/>
    <n v="1"/>
    <b v="1"/>
    <m/>
    <n v="0"/>
    <m/>
    <x v="0"/>
    <x v="0"/>
  </r>
  <r>
    <s v="PH-PRJ-069-01"/>
    <x v="68"/>
    <x v="0"/>
    <d v="2025-05-26T00:00:00"/>
    <d v="2025-07-08T00:00:00"/>
    <d v="2025-05-26T00:00:00"/>
    <d v="2025-07-08T00:00:00"/>
    <s v="Completed"/>
    <n v="100"/>
    <n v="6324573"/>
    <m/>
    <s v="2025-05-26T12:39:00"/>
    <s v="2025-05-26T12:39:00"/>
    <s v="system@alrashdeng.ae"/>
    <n v="1"/>
    <b v="1"/>
    <m/>
    <n v="0"/>
    <m/>
    <x v="0"/>
    <x v="0"/>
  </r>
  <r>
    <s v="PH-PRJ-069-02"/>
    <x v="68"/>
    <x v="1"/>
    <d v="2025-07-08T00:00:00"/>
    <d v="2025-10-03T00:00:00"/>
    <d v="2025-07-08T00:00:00"/>
    <d v="2025-10-03T00:00:00"/>
    <s v="Completed"/>
    <n v="100"/>
    <n v="12649147"/>
    <m/>
    <s v="2025-07-08T08:01:00"/>
    <s v="2025-07-08T08:01:00"/>
    <s v="system@alrashdeng.ae"/>
    <n v="1"/>
    <b v="1"/>
    <m/>
    <n v="0"/>
    <m/>
    <x v="0"/>
    <x v="0"/>
  </r>
  <r>
    <s v="PH-PRJ-069-03"/>
    <x v="68"/>
    <x v="2"/>
    <d v="2025-10-03T00:00:00"/>
    <d v="2026-01-15T00:00:00"/>
    <d v="2025-10-03T00:00:00"/>
    <d v="2026-01-15T00:00:00"/>
    <s v="Completed"/>
    <n v="100"/>
    <n v="15178977"/>
    <m/>
    <s v="2025-10-03T10:03:00"/>
    <s v="2025-10-03T10:03:00"/>
    <s v="system@alrashdeng.ae"/>
    <n v="1"/>
    <b v="1"/>
    <s v="Critical Phase"/>
    <n v="0"/>
    <m/>
    <x v="0"/>
    <x v="0"/>
  </r>
  <r>
    <s v="PH-PRJ-069-04"/>
    <x v="68"/>
    <x v="3"/>
    <d v="2026-01-15T00:00:00"/>
    <d v="2026-05-25T00:00:00"/>
    <d v="2026-01-15T00:00:00"/>
    <m/>
    <s v="In Progress"/>
    <n v="21"/>
    <n v="18973721"/>
    <m/>
    <s v="2026-01-15T09:06:00"/>
    <s v="2026-01-15T09:06:00"/>
    <s v="system@alrashdeng.ae"/>
    <n v="1"/>
    <b v="1"/>
    <m/>
    <m/>
    <n v="127"/>
    <x v="1"/>
    <x v="26"/>
  </r>
  <r>
    <s v="PH-PRJ-069-05"/>
    <x v="68"/>
    <x v="4"/>
    <d v="2026-05-25T00:00:00"/>
    <d v="2026-12-28T00:00:00"/>
    <m/>
    <m/>
    <s v="Not Started"/>
    <n v="0"/>
    <n v="31622869"/>
    <m/>
    <s v="2026-05-25T12:55:00"/>
    <s v="2026-05-25T12:55:00"/>
    <s v="system@alrashdeng.ae"/>
    <n v="1"/>
    <b v="1"/>
    <s v="Critical Phase"/>
    <m/>
    <n v="-90"/>
    <x v="0"/>
    <x v="0"/>
  </r>
  <r>
    <s v="PH-PRJ-069-06"/>
    <x v="68"/>
    <x v="5"/>
    <d v="2026-12-28T00:00:00"/>
    <d v="2027-03-25T00:00:00"/>
    <m/>
    <m/>
    <s v="Not Started"/>
    <n v="0"/>
    <n v="12649147"/>
    <m/>
    <s v="2026-12-28T13:14:00"/>
    <s v="2026-12-28T13:14:00"/>
    <s v="system@alrashdeng.ae"/>
    <n v="1"/>
    <b v="1"/>
    <m/>
    <m/>
    <n v="-177"/>
    <x v="0"/>
    <x v="0"/>
  </r>
  <r>
    <s v="PH-PRJ-069-07"/>
    <x v="68"/>
    <x v="6"/>
    <d v="2027-03-25T00:00:00"/>
    <d v="2027-06-02T00:00:00"/>
    <m/>
    <m/>
    <s v="Not Started"/>
    <n v="0"/>
    <n v="10119318"/>
    <m/>
    <s v="2027-03-25T09:05:00"/>
    <s v="2027-03-25T09:05:00"/>
    <s v="system@alrashdeng.ae"/>
    <n v="1"/>
    <b v="1"/>
    <m/>
    <m/>
    <n v="-246"/>
    <x v="0"/>
    <x v="0"/>
  </r>
  <r>
    <s v="PH-PRJ-069-08"/>
    <x v="68"/>
    <x v="7"/>
    <d v="2027-06-02T00:00:00"/>
    <d v="2027-08-28T00:00:00"/>
    <m/>
    <m/>
    <s v="Not Started"/>
    <n v="0"/>
    <n v="12649147"/>
    <m/>
    <s v="2027-06-02T10:46:00"/>
    <s v="2027-06-02T10:46:00"/>
    <s v="system@alrashdeng.ae"/>
    <n v="1"/>
    <b v="1"/>
    <m/>
    <m/>
    <n v="-333"/>
    <x v="0"/>
    <x v="0"/>
  </r>
  <r>
    <s v="PH-PRJ-069-09"/>
    <x v="68"/>
    <x v="8"/>
    <d v="2027-08-28T00:00:00"/>
    <d v="2027-09-23T00:00:00"/>
    <m/>
    <m/>
    <s v="Not Started"/>
    <n v="0"/>
    <n v="3794744"/>
    <m/>
    <s v="2027-08-28T12:52:00"/>
    <s v="2027-08-28T12:52:00"/>
    <s v="system@alrashdeng.ae"/>
    <n v="1"/>
    <b v="1"/>
    <m/>
    <m/>
    <n v="-359"/>
    <x v="0"/>
    <x v="0"/>
  </r>
  <r>
    <s v="PH-PRJ-069-10"/>
    <x v="68"/>
    <x v="9"/>
    <d v="2027-09-23T00:00:00"/>
    <d v="2027-10-10T00:00:00"/>
    <m/>
    <m/>
    <s v="Not Started"/>
    <n v="0"/>
    <n v="2529829"/>
    <m/>
    <s v="2027-09-23T15:00:00"/>
    <s v="2027-09-23T15:00:00"/>
    <s v="system@alrashdeng.ae"/>
    <n v="1"/>
    <b v="1"/>
    <m/>
    <m/>
    <n v="-376"/>
    <x v="0"/>
    <x v="0"/>
  </r>
  <r>
    <s v="PH-PRJ-070-01"/>
    <x v="69"/>
    <x v="0"/>
    <d v="2023-05-25T00:00:00"/>
    <d v="2023-06-22T00:00:00"/>
    <d v="2023-05-25T00:00:00"/>
    <d v="2023-06-22T00:00:00"/>
    <s v="Completed"/>
    <n v="100"/>
    <n v="21803816"/>
    <m/>
    <s v="2023-05-25T07:16:00"/>
    <s v="2023-05-25T07:16:00"/>
    <s v="system@alrashdeng.ae"/>
    <n v="1"/>
    <b v="1"/>
    <m/>
    <n v="0"/>
    <m/>
    <x v="0"/>
    <x v="0"/>
  </r>
  <r>
    <s v="PH-PRJ-070-02"/>
    <x v="69"/>
    <x v="1"/>
    <d v="2023-06-22T00:00:00"/>
    <d v="2023-08-18T00:00:00"/>
    <d v="2023-06-22T00:00:00"/>
    <d v="2023-08-18T00:00:00"/>
    <s v="Completed"/>
    <n v="100"/>
    <n v="43607633"/>
    <m/>
    <s v="2023-06-22T07:07:00"/>
    <s v="2023-06-22T07:07:00"/>
    <s v="system@alrashdeng.ae"/>
    <n v="1"/>
    <b v="1"/>
    <m/>
    <n v="0"/>
    <m/>
    <x v="0"/>
    <x v="0"/>
  </r>
  <r>
    <s v="PH-PRJ-070-03"/>
    <x v="69"/>
    <x v="2"/>
    <d v="2023-08-18T00:00:00"/>
    <d v="2023-10-25T00:00:00"/>
    <d v="2023-08-18T00:00:00"/>
    <d v="2023-10-25T00:00:00"/>
    <s v="Completed"/>
    <n v="100"/>
    <n v="52329160"/>
    <m/>
    <s v="2023-08-18T07:19:00"/>
    <s v="2023-08-18T07:19:00"/>
    <s v="system@alrashdeng.ae"/>
    <n v="1"/>
    <b v="1"/>
    <s v="Critical Phase"/>
    <n v="0"/>
    <m/>
    <x v="0"/>
    <x v="0"/>
  </r>
  <r>
    <s v="PH-PRJ-070-04"/>
    <x v="69"/>
    <x v="3"/>
    <d v="2023-10-25T00:00:00"/>
    <d v="2024-01-18T00:00:00"/>
    <d v="2023-10-25T00:00:00"/>
    <d v="2024-01-18T00:00:00"/>
    <s v="Completed"/>
    <n v="100"/>
    <n v="65411450"/>
    <m/>
    <s v="2023-10-25T08:16:00"/>
    <s v="2023-10-25T08:16:00"/>
    <s v="system@alrashdeng.ae"/>
    <n v="1"/>
    <b v="1"/>
    <m/>
    <n v="0"/>
    <m/>
    <x v="0"/>
    <x v="0"/>
  </r>
  <r>
    <s v="PH-PRJ-070-05"/>
    <x v="69"/>
    <x v="4"/>
    <d v="2024-01-18T00:00:00"/>
    <d v="2024-06-08T00:00:00"/>
    <d v="2024-01-18T00:00:00"/>
    <d v="2024-06-08T00:00:00"/>
    <s v="Completed"/>
    <n v="100"/>
    <n v="109019083"/>
    <m/>
    <s v="2024-01-18T12:44:00"/>
    <s v="2024-01-18T12:44:00"/>
    <s v="system@alrashdeng.ae"/>
    <n v="1"/>
    <b v="1"/>
    <s v="Critical Phase"/>
    <n v="0"/>
    <m/>
    <x v="0"/>
    <x v="0"/>
  </r>
  <r>
    <s v="PH-PRJ-070-06"/>
    <x v="69"/>
    <x v="5"/>
    <d v="2024-06-08T00:00:00"/>
    <d v="2024-08-04T00:00:00"/>
    <d v="2024-06-08T00:00:00"/>
    <d v="2024-08-04T00:00:00"/>
    <s v="Completed"/>
    <n v="100"/>
    <n v="43607633"/>
    <m/>
    <s v="2024-06-08T16:50:00"/>
    <s v="2024-06-08T16:50:00"/>
    <s v="system@alrashdeng.ae"/>
    <n v="1"/>
    <b v="1"/>
    <m/>
    <n v="0"/>
    <m/>
    <x v="0"/>
    <x v="0"/>
  </r>
  <r>
    <s v="PH-PRJ-070-07"/>
    <x v="69"/>
    <x v="6"/>
    <d v="2024-08-04T00:00:00"/>
    <d v="2024-09-18T00:00:00"/>
    <d v="2024-08-04T00:00:00"/>
    <d v="2024-09-18T00:00:00"/>
    <s v="Completed"/>
    <n v="100"/>
    <n v="34886106"/>
    <m/>
    <s v="2024-08-04T13:17:00"/>
    <s v="2024-08-04T13:17:00"/>
    <s v="system@alrashdeng.ae"/>
    <n v="1"/>
    <b v="1"/>
    <m/>
    <n v="0"/>
    <m/>
    <x v="0"/>
    <x v="0"/>
  </r>
  <r>
    <s v="PH-PRJ-070-08"/>
    <x v="69"/>
    <x v="7"/>
    <d v="2024-09-18T00:00:00"/>
    <d v="2024-11-14T00:00:00"/>
    <d v="2024-09-18T00:00:00"/>
    <d v="2024-11-14T00:00:00"/>
    <s v="Completed"/>
    <n v="100"/>
    <n v="43607633"/>
    <m/>
    <s v="2024-09-18T09:59:00"/>
    <s v="2024-09-18T09:59:00"/>
    <s v="system@alrashdeng.ae"/>
    <n v="1"/>
    <b v="1"/>
    <m/>
    <n v="0"/>
    <m/>
    <x v="0"/>
    <x v="0"/>
  </r>
  <r>
    <s v="PH-PRJ-070-09"/>
    <x v="69"/>
    <x v="8"/>
    <d v="2024-11-14T00:00:00"/>
    <d v="2024-12-01T00:00:00"/>
    <d v="2024-11-14T00:00:00"/>
    <d v="2024-12-01T00:00:00"/>
    <s v="Completed"/>
    <n v="100"/>
    <n v="13082290"/>
    <m/>
    <s v="2024-11-14T09:37:00"/>
    <s v="2024-11-14T09:37:00"/>
    <s v="system@alrashdeng.ae"/>
    <n v="1"/>
    <b v="1"/>
    <m/>
    <n v="0"/>
    <m/>
    <x v="0"/>
    <x v="0"/>
  </r>
  <r>
    <s v="PH-PRJ-070-10"/>
    <x v="69"/>
    <x v="9"/>
    <d v="2024-12-01T00:00:00"/>
    <d v="2024-12-12T00:00:00"/>
    <d v="2024-12-01T00:00:00"/>
    <d v="2024-12-12T00:00:00"/>
    <s v="Completed"/>
    <n v="100"/>
    <n v="8721526"/>
    <m/>
    <s v="2024-12-01T14:07:00"/>
    <s v="2024-12-01T14:07:00"/>
    <s v="system@alrashdeng.ae"/>
    <n v="1"/>
    <b v="1"/>
    <m/>
    <n v="0"/>
    <m/>
    <x v="0"/>
    <x v="0"/>
  </r>
  <r>
    <s v="PH-PRJ-071-01"/>
    <x v="70"/>
    <x v="0"/>
    <d v="2024-07-07T00:00:00"/>
    <d v="2024-09-06T00:00:00"/>
    <d v="2024-07-07T00:00:00"/>
    <d v="2024-09-06T00:00:00"/>
    <s v="Completed"/>
    <n v="100"/>
    <n v="18546417"/>
    <m/>
    <s v="2024-07-07T09:20:00"/>
    <s v="2024-07-07T09:20:00"/>
    <s v="system@alrashdeng.ae"/>
    <n v="1"/>
    <b v="1"/>
    <m/>
    <n v="0"/>
    <m/>
    <x v="0"/>
    <x v="0"/>
  </r>
  <r>
    <s v="PH-PRJ-071-02"/>
    <x v="70"/>
    <x v="1"/>
    <d v="2024-09-06T00:00:00"/>
    <d v="2025-01-07T00:00:00"/>
    <d v="2024-09-06T00:00:00"/>
    <d v="2025-01-07T00:00:00"/>
    <s v="Completed"/>
    <n v="100"/>
    <n v="37092835"/>
    <m/>
    <s v="2024-09-06T09:48:00"/>
    <s v="2024-09-06T09:48:00"/>
    <s v="system@alrashdeng.ae"/>
    <n v="1"/>
    <b v="1"/>
    <m/>
    <n v="0"/>
    <m/>
    <x v="0"/>
    <x v="0"/>
  </r>
  <r>
    <s v="PH-PRJ-071-03"/>
    <x v="70"/>
    <x v="2"/>
    <d v="2025-01-07T00:00:00"/>
    <d v="2025-06-03T00:00:00"/>
    <d v="2025-01-07T00:00:00"/>
    <d v="2025-06-03T00:00:00"/>
    <s v="Completed"/>
    <n v="100"/>
    <n v="44511402"/>
    <m/>
    <s v="2025-01-07T16:56:00"/>
    <s v="2025-01-07T16:56:00"/>
    <s v="system@alrashdeng.ae"/>
    <n v="1"/>
    <b v="1"/>
    <s v="Critical Phase"/>
    <n v="0"/>
    <m/>
    <x v="0"/>
    <x v="0"/>
  </r>
  <r>
    <s v="PH-PRJ-071-04"/>
    <x v="70"/>
    <x v="3"/>
    <d v="2025-06-03T00:00:00"/>
    <d v="2025-12-04T00:00:00"/>
    <d v="2025-06-03T00:00:00"/>
    <d v="2025-12-04T00:00:00"/>
    <s v="Completed"/>
    <n v="100"/>
    <n v="55639253"/>
    <m/>
    <s v="2025-06-03T13:40:00"/>
    <s v="2025-06-03T13:40:00"/>
    <s v="system@alrashdeng.ae"/>
    <n v="1"/>
    <b v="1"/>
    <m/>
    <n v="0"/>
    <m/>
    <x v="0"/>
    <x v="0"/>
  </r>
  <r>
    <s v="PH-PRJ-071-05"/>
    <x v="70"/>
    <x v="4"/>
    <d v="2025-12-04T00:00:00"/>
    <d v="2026-10-07T00:00:00"/>
    <d v="2025-12-04T00:00:00"/>
    <m/>
    <s v="In Progress"/>
    <n v="77"/>
    <n v="92732088"/>
    <m/>
    <s v="2025-12-04T17:07:00"/>
    <s v="2025-12-04T17:07:00"/>
    <s v="system@alrashdeng.ae"/>
    <n v="1"/>
    <b v="1"/>
    <s v="Critical Phase"/>
    <m/>
    <n v="-8"/>
    <x v="0"/>
    <x v="0"/>
  </r>
  <r>
    <s v="PH-PRJ-071-06"/>
    <x v="70"/>
    <x v="5"/>
    <d v="2026-10-07T00:00:00"/>
    <d v="2027-02-07T00:00:00"/>
    <m/>
    <m/>
    <s v="Not Started"/>
    <n v="0"/>
    <n v="37092835"/>
    <m/>
    <s v="2026-10-07T15:33:00"/>
    <s v="2026-10-07T15:33:00"/>
    <s v="system@alrashdeng.ae"/>
    <n v="1"/>
    <b v="1"/>
    <m/>
    <m/>
    <n v="-131"/>
    <x v="0"/>
    <x v="0"/>
  </r>
  <r>
    <s v="PH-PRJ-071-07"/>
    <x v="70"/>
    <x v="6"/>
    <d v="2027-02-07T00:00:00"/>
    <d v="2027-05-16T00:00:00"/>
    <m/>
    <m/>
    <s v="Not Started"/>
    <n v="0"/>
    <n v="29674268"/>
    <m/>
    <s v="2027-02-07T10:36:00"/>
    <s v="2027-02-07T10:36:00"/>
    <s v="system@alrashdeng.ae"/>
    <n v="1"/>
    <b v="1"/>
    <m/>
    <m/>
    <n v="-229"/>
    <x v="0"/>
    <x v="0"/>
  </r>
  <r>
    <s v="PH-PRJ-071-08"/>
    <x v="70"/>
    <x v="7"/>
    <d v="2027-05-16T00:00:00"/>
    <d v="2027-09-16T00:00:00"/>
    <m/>
    <m/>
    <s v="Not Started"/>
    <n v="0"/>
    <n v="37092835"/>
    <m/>
    <s v="2027-05-16T14:42:00"/>
    <s v="2027-05-16T14:42:00"/>
    <s v="system@alrashdeng.ae"/>
    <n v="1"/>
    <b v="1"/>
    <m/>
    <m/>
    <n v="-352"/>
    <x v="0"/>
    <x v="0"/>
  </r>
  <r>
    <s v="PH-PRJ-071-09"/>
    <x v="70"/>
    <x v="8"/>
    <d v="2027-09-16T00:00:00"/>
    <d v="2027-10-22T00:00:00"/>
    <m/>
    <m/>
    <s v="Not Started"/>
    <n v="0"/>
    <n v="11127850"/>
    <m/>
    <s v="2027-09-16T14:17:00"/>
    <s v="2027-09-16T14:17:00"/>
    <s v="system@alrashdeng.ae"/>
    <n v="1"/>
    <b v="1"/>
    <m/>
    <m/>
    <n v="-388"/>
    <x v="0"/>
    <x v="0"/>
  </r>
  <r>
    <s v="PH-PRJ-071-10"/>
    <x v="70"/>
    <x v="9"/>
    <d v="2027-10-22T00:00:00"/>
    <d v="2027-11-15T00:00:00"/>
    <m/>
    <m/>
    <s v="Not Started"/>
    <n v="0"/>
    <n v="7418567"/>
    <m/>
    <s v="2027-10-22T12:49:00"/>
    <s v="2027-10-22T12:49:00"/>
    <s v="system@alrashdeng.ae"/>
    <n v="1"/>
    <b v="1"/>
    <m/>
    <m/>
    <n v="-412"/>
    <x v="0"/>
    <x v="0"/>
  </r>
  <r>
    <s v="PH-PRJ-072-01"/>
    <x v="71"/>
    <x v="0"/>
    <d v="2021-05-25T00:00:00"/>
    <d v="2021-08-02T00:00:00"/>
    <d v="2021-05-25T00:00:00"/>
    <d v="2021-08-02T00:00:00"/>
    <s v="Completed"/>
    <n v="100"/>
    <n v="511004"/>
    <m/>
    <s v="2021-05-25T14:14:00"/>
    <s v="2021-05-25T14:14:00"/>
    <s v="system@alrashdeng.ae"/>
    <n v="1"/>
    <b v="1"/>
    <m/>
    <n v="0"/>
    <m/>
    <x v="0"/>
    <x v="0"/>
  </r>
  <r>
    <s v="PH-PRJ-072-02"/>
    <x v="71"/>
    <x v="1"/>
    <d v="2021-08-02T00:00:00"/>
    <d v="2021-12-18T00:00:00"/>
    <d v="2021-08-02T00:00:00"/>
    <d v="2021-12-18T00:00:00"/>
    <s v="Completed"/>
    <n v="100"/>
    <n v="1022009"/>
    <m/>
    <s v="2021-08-02T08:16:00"/>
    <s v="2021-08-02T08:16:00"/>
    <s v="system@alrashdeng.ae"/>
    <n v="1"/>
    <b v="1"/>
    <m/>
    <n v="0"/>
    <m/>
    <x v="0"/>
    <x v="0"/>
  </r>
  <r>
    <s v="PH-PRJ-072-03"/>
    <x v="71"/>
    <x v="2"/>
    <d v="2021-12-18T00:00:00"/>
    <d v="2022-06-01T00:00:00"/>
    <d v="2021-12-18T00:00:00"/>
    <d v="2022-06-01T00:00:00"/>
    <s v="Completed"/>
    <n v="100"/>
    <n v="1226411"/>
    <m/>
    <s v="2021-12-18T11:45:00"/>
    <s v="2021-12-18T11:45:00"/>
    <s v="system@alrashdeng.ae"/>
    <n v="1"/>
    <b v="1"/>
    <s v="Critical Phase"/>
    <n v="0"/>
    <m/>
    <x v="0"/>
    <x v="0"/>
  </r>
  <r>
    <s v="PH-PRJ-072-04"/>
    <x v="71"/>
    <x v="3"/>
    <d v="2022-06-01T00:00:00"/>
    <d v="2022-12-25T00:00:00"/>
    <d v="2022-06-01T00:00:00"/>
    <d v="2022-12-25T00:00:00"/>
    <s v="Completed"/>
    <n v="100"/>
    <n v="1533014"/>
    <m/>
    <s v="2022-06-01T08:22:00"/>
    <s v="2022-06-01T08:22:00"/>
    <s v="system@alrashdeng.ae"/>
    <n v="1"/>
    <b v="1"/>
    <m/>
    <n v="0"/>
    <m/>
    <x v="0"/>
    <x v="0"/>
  </r>
  <r>
    <s v="PH-PRJ-072-05"/>
    <x v="71"/>
    <x v="4"/>
    <d v="2022-12-25T00:00:00"/>
    <d v="2023-12-05T00:00:00"/>
    <d v="2022-12-25T00:00:00"/>
    <d v="2023-12-05T00:00:00"/>
    <s v="Completed"/>
    <n v="100"/>
    <n v="2555024"/>
    <m/>
    <s v="2022-12-25T15:53:00"/>
    <s v="2022-12-25T15:53:00"/>
    <s v="system@alrashdeng.ae"/>
    <n v="1"/>
    <b v="1"/>
    <s v="Critical Phase"/>
    <n v="0"/>
    <m/>
    <x v="0"/>
    <x v="0"/>
  </r>
  <r>
    <s v="PH-PRJ-072-06"/>
    <x v="71"/>
    <x v="5"/>
    <d v="2023-12-05T00:00:00"/>
    <d v="2024-04-21T00:00:00"/>
    <d v="2023-12-05T00:00:00"/>
    <d v="2024-04-21T00:00:00"/>
    <s v="Completed"/>
    <n v="100"/>
    <n v="1022009"/>
    <m/>
    <s v="2023-12-05T10:42:00"/>
    <s v="2023-12-05T10:42:00"/>
    <s v="system@alrashdeng.ae"/>
    <n v="1"/>
    <b v="1"/>
    <m/>
    <n v="0"/>
    <m/>
    <x v="0"/>
    <x v="0"/>
  </r>
  <r>
    <s v="PH-PRJ-072-07"/>
    <x v="71"/>
    <x v="6"/>
    <d v="2024-04-21T00:00:00"/>
    <d v="2024-08-09T00:00:00"/>
    <d v="2024-04-21T00:00:00"/>
    <d v="2024-08-09T00:00:00"/>
    <s v="Completed"/>
    <n v="100"/>
    <n v="817607"/>
    <m/>
    <s v="2024-04-21T17:47:00"/>
    <s v="2024-04-21T17:47:00"/>
    <s v="system@alrashdeng.ae"/>
    <n v="1"/>
    <b v="1"/>
    <m/>
    <n v="0"/>
    <m/>
    <x v="0"/>
    <x v="0"/>
  </r>
  <r>
    <s v="PH-PRJ-072-08"/>
    <x v="71"/>
    <x v="7"/>
    <d v="2024-08-09T00:00:00"/>
    <d v="2024-12-25T00:00:00"/>
    <d v="2024-08-09T00:00:00"/>
    <d v="2024-12-25T00:00:00"/>
    <s v="Completed"/>
    <n v="100"/>
    <n v="1022009"/>
    <m/>
    <s v="2024-08-09T10:44:00"/>
    <s v="2024-08-09T10:44:00"/>
    <s v="system@alrashdeng.ae"/>
    <n v="1"/>
    <b v="1"/>
    <m/>
    <n v="0"/>
    <m/>
    <x v="0"/>
    <x v="0"/>
  </r>
  <r>
    <s v="PH-PRJ-072-09"/>
    <x v="71"/>
    <x v="8"/>
    <d v="2024-12-25T00:00:00"/>
    <d v="2025-02-04T00:00:00"/>
    <d v="2024-12-25T00:00:00"/>
    <d v="2025-02-04T00:00:00"/>
    <s v="Completed"/>
    <n v="100"/>
    <n v="306602"/>
    <m/>
    <s v="2024-12-25T08:04:00"/>
    <s v="2024-12-25T08:04:00"/>
    <s v="system@alrashdeng.ae"/>
    <n v="1"/>
    <b v="1"/>
    <m/>
    <n v="0"/>
    <m/>
    <x v="0"/>
    <x v="0"/>
  </r>
  <r>
    <s v="PH-PRJ-072-10"/>
    <x v="71"/>
    <x v="9"/>
    <d v="2025-02-04T00:00:00"/>
    <d v="2025-03-03T00:00:00"/>
    <d v="2025-02-04T00:00:00"/>
    <d v="2025-03-03T00:00:00"/>
    <s v="Completed"/>
    <n v="100"/>
    <n v="204401"/>
    <m/>
    <s v="2025-02-04T14:03:00"/>
    <s v="2025-02-04T14:03:00"/>
    <s v="system@alrashdeng.ae"/>
    <n v="1"/>
    <b v="1"/>
    <m/>
    <n v="0"/>
    <m/>
    <x v="0"/>
    <x v="0"/>
  </r>
  <r>
    <s v="PH-PRJ-073-01"/>
    <x v="72"/>
    <x v="0"/>
    <d v="2024-12-06T00:00:00"/>
    <d v="2025-01-26T00:00:00"/>
    <d v="2024-12-06T00:00:00"/>
    <d v="2025-01-26T00:00:00"/>
    <s v="Completed"/>
    <n v="100"/>
    <n v="6117089"/>
    <m/>
    <s v="2024-12-06T10:00:00"/>
    <s v="2024-12-06T10:00:00"/>
    <s v="system@alrashdeng.ae"/>
    <n v="1"/>
    <b v="1"/>
    <m/>
    <n v="0"/>
    <m/>
    <x v="0"/>
    <x v="0"/>
  </r>
  <r>
    <s v="PH-PRJ-073-02"/>
    <x v="72"/>
    <x v="1"/>
    <d v="2025-01-26T00:00:00"/>
    <d v="2025-05-08T00:00:00"/>
    <d v="2025-01-26T00:00:00"/>
    <d v="2025-05-08T00:00:00"/>
    <s v="Completed"/>
    <n v="100"/>
    <n v="12234179"/>
    <m/>
    <s v="2025-01-26T17:13:00"/>
    <s v="2025-01-26T17:13:00"/>
    <s v="system@alrashdeng.ae"/>
    <n v="1"/>
    <b v="1"/>
    <m/>
    <n v="0"/>
    <m/>
    <x v="0"/>
    <x v="0"/>
  </r>
  <r>
    <s v="PH-PRJ-073-03"/>
    <x v="72"/>
    <x v="2"/>
    <d v="2025-05-08T00:00:00"/>
    <d v="2025-09-07T00:00:00"/>
    <d v="2025-05-08T00:00:00"/>
    <d v="2025-09-07T00:00:00"/>
    <s v="Completed"/>
    <n v="100"/>
    <n v="14681015"/>
    <m/>
    <s v="2025-05-08T14:52:00"/>
    <s v="2025-05-08T14:52:00"/>
    <s v="system@alrashdeng.ae"/>
    <n v="1"/>
    <b v="1"/>
    <s v="Critical Phase"/>
    <n v="0"/>
    <m/>
    <x v="0"/>
    <x v="0"/>
  </r>
  <r>
    <s v="PH-PRJ-073-04"/>
    <x v="72"/>
    <x v="3"/>
    <d v="2025-09-07T00:00:00"/>
    <d v="2026-02-07T00:00:00"/>
    <d v="2025-09-07T00:00:00"/>
    <d v="2026-02-07T00:00:00"/>
    <s v="Completed"/>
    <n v="100"/>
    <n v="18351269"/>
    <m/>
    <s v="2025-09-07T13:12:00"/>
    <s v="2025-09-07T13:12:00"/>
    <s v="system@alrashdeng.ae"/>
    <n v="1"/>
    <b v="1"/>
    <m/>
    <n v="0"/>
    <m/>
    <x v="0"/>
    <x v="0"/>
  </r>
  <r>
    <s v="PH-PRJ-073-05"/>
    <x v="72"/>
    <x v="4"/>
    <d v="2026-02-07T00:00:00"/>
    <d v="2026-10-20T00:00:00"/>
    <d v="2026-02-07T00:00:00"/>
    <m/>
    <s v="In Progress"/>
    <n v="82"/>
    <n v="30585449"/>
    <m/>
    <s v="2026-02-07T08:21:00"/>
    <s v="2026-02-07T08:21:00"/>
    <s v="system@alrashdeng.ae"/>
    <n v="1"/>
    <b v="1"/>
    <s v="Critical Phase"/>
    <m/>
    <n v="-21"/>
    <x v="0"/>
    <x v="0"/>
  </r>
  <r>
    <s v="PH-PRJ-073-06"/>
    <x v="72"/>
    <x v="5"/>
    <d v="2026-10-20T00:00:00"/>
    <d v="2027-01-30T00:00:00"/>
    <m/>
    <m/>
    <s v="Not Started"/>
    <n v="0"/>
    <n v="12234179"/>
    <m/>
    <s v="2026-10-20T10:52:00"/>
    <s v="2026-10-20T10:52:00"/>
    <s v="system@alrashdeng.ae"/>
    <n v="1"/>
    <b v="1"/>
    <m/>
    <m/>
    <n v="-123"/>
    <x v="0"/>
    <x v="0"/>
  </r>
  <r>
    <s v="PH-PRJ-073-07"/>
    <x v="72"/>
    <x v="6"/>
    <d v="2027-01-30T00:00:00"/>
    <d v="2027-04-21T00:00:00"/>
    <m/>
    <m/>
    <s v="Not Started"/>
    <n v="0"/>
    <n v="9787343"/>
    <m/>
    <s v="2027-01-30T16:48:00"/>
    <s v="2027-01-30T16:48:00"/>
    <s v="system@alrashdeng.ae"/>
    <n v="1"/>
    <b v="1"/>
    <m/>
    <m/>
    <n v="-204"/>
    <x v="0"/>
    <x v="0"/>
  </r>
  <r>
    <s v="PH-PRJ-073-08"/>
    <x v="72"/>
    <x v="7"/>
    <d v="2027-04-21T00:00:00"/>
    <d v="2027-08-01T00:00:00"/>
    <m/>
    <m/>
    <s v="Not Started"/>
    <n v="0"/>
    <n v="12234179"/>
    <m/>
    <s v="2027-04-21T15:32:00"/>
    <s v="2027-04-21T15:32:00"/>
    <s v="system@alrashdeng.ae"/>
    <n v="1"/>
    <b v="1"/>
    <m/>
    <m/>
    <n v="-306"/>
    <x v="0"/>
    <x v="0"/>
  </r>
  <r>
    <s v="PH-PRJ-073-09"/>
    <x v="72"/>
    <x v="8"/>
    <d v="2027-08-01T00:00:00"/>
    <d v="2027-08-31T00:00:00"/>
    <m/>
    <m/>
    <s v="Not Started"/>
    <n v="0"/>
    <n v="3670253"/>
    <m/>
    <s v="2027-08-01T12:48:00"/>
    <s v="2027-08-01T12:48:00"/>
    <s v="system@alrashdeng.ae"/>
    <n v="1"/>
    <b v="1"/>
    <m/>
    <m/>
    <n v="-336"/>
    <x v="0"/>
    <x v="0"/>
  </r>
  <r>
    <s v="PH-PRJ-073-10"/>
    <x v="72"/>
    <x v="9"/>
    <d v="2027-08-31T00:00:00"/>
    <d v="2027-09-20T00:00:00"/>
    <m/>
    <m/>
    <s v="Not Started"/>
    <n v="0"/>
    <n v="2446835"/>
    <m/>
    <s v="2027-08-31T11:45:00"/>
    <s v="2027-08-31T11:45:00"/>
    <s v="system@alrashdeng.ae"/>
    <n v="1"/>
    <b v="1"/>
    <m/>
    <m/>
    <n v="-356"/>
    <x v="0"/>
    <x v="0"/>
  </r>
  <r>
    <s v="PH-PRJ-074-01"/>
    <x v="73"/>
    <x v="0"/>
    <d v="2024-12-13T00:00:00"/>
    <d v="2025-01-22T00:00:00"/>
    <d v="2024-12-13T00:00:00"/>
    <d v="2025-01-22T00:00:00"/>
    <s v="Completed"/>
    <n v="100"/>
    <n v="22700188"/>
    <m/>
    <s v="2024-12-13T14:41:00"/>
    <s v="2024-12-13T14:41:00"/>
    <s v="system@alrashdeng.ae"/>
    <n v="1"/>
    <b v="1"/>
    <m/>
    <n v="0"/>
    <m/>
    <x v="0"/>
    <x v="0"/>
  </r>
  <r>
    <s v="PH-PRJ-074-02"/>
    <x v="73"/>
    <x v="1"/>
    <d v="2025-01-22T00:00:00"/>
    <d v="2025-04-13T00:00:00"/>
    <d v="2025-01-22T00:00:00"/>
    <d v="2025-04-13T00:00:00"/>
    <s v="Completed"/>
    <n v="100"/>
    <n v="45400377"/>
    <m/>
    <s v="2025-01-22T09:54:00"/>
    <s v="2025-01-22T09:54:00"/>
    <s v="system@alrashdeng.ae"/>
    <n v="1"/>
    <b v="1"/>
    <m/>
    <n v="0"/>
    <m/>
    <x v="0"/>
    <x v="0"/>
  </r>
  <r>
    <s v="PH-PRJ-074-03"/>
    <x v="73"/>
    <x v="2"/>
    <d v="2025-04-13T00:00:00"/>
    <d v="2025-07-19T00:00:00"/>
    <d v="2025-04-13T00:00:00"/>
    <d v="2025-07-19T00:00:00"/>
    <s v="Completed"/>
    <n v="100"/>
    <n v="54480453"/>
    <m/>
    <s v="2025-04-13T15:06:00"/>
    <s v="2025-04-13T15:06:00"/>
    <s v="system@alrashdeng.ae"/>
    <n v="1"/>
    <b v="1"/>
    <s v="Critical Phase"/>
    <n v="0"/>
    <m/>
    <x v="0"/>
    <x v="0"/>
  </r>
  <r>
    <s v="PH-PRJ-074-04"/>
    <x v="73"/>
    <x v="3"/>
    <d v="2025-07-19T00:00:00"/>
    <d v="2025-11-17T00:00:00"/>
    <d v="2025-07-19T00:00:00"/>
    <d v="2025-11-17T00:00:00"/>
    <s v="Completed"/>
    <n v="100"/>
    <n v="68100566"/>
    <m/>
    <s v="2025-07-19T09:14:00"/>
    <s v="2025-07-19T09:14:00"/>
    <s v="system@alrashdeng.ae"/>
    <n v="1"/>
    <b v="1"/>
    <m/>
    <n v="0"/>
    <m/>
    <x v="0"/>
    <x v="0"/>
  </r>
  <r>
    <s v="PH-PRJ-074-05"/>
    <x v="73"/>
    <x v="4"/>
    <d v="2025-11-17T00:00:00"/>
    <d v="2026-06-07T00:00:00"/>
    <d v="2025-11-17T00:00:00"/>
    <m/>
    <s v="In Progress"/>
    <n v="66"/>
    <n v="113500944"/>
    <m/>
    <s v="2025-11-17T13:28:00"/>
    <s v="2025-11-17T13:28:00"/>
    <s v="system@alrashdeng.ae"/>
    <n v="1"/>
    <b v="1"/>
    <s v="Critical Phase"/>
    <m/>
    <n v="114"/>
    <x v="1"/>
    <x v="43"/>
  </r>
  <r>
    <s v="PH-PRJ-074-06"/>
    <x v="73"/>
    <x v="5"/>
    <d v="2026-06-07T00:00:00"/>
    <d v="2026-08-27T00:00:00"/>
    <m/>
    <m/>
    <s v="Not Started"/>
    <n v="0"/>
    <n v="45400377"/>
    <m/>
    <s v="2026-06-07T16:32:00"/>
    <s v="2026-06-07T16:32:00"/>
    <s v="system@alrashdeng.ae"/>
    <n v="1"/>
    <b v="1"/>
    <m/>
    <m/>
    <n v="33"/>
    <x v="1"/>
    <x v="44"/>
  </r>
  <r>
    <s v="PH-PRJ-074-07"/>
    <x v="73"/>
    <x v="6"/>
    <d v="2026-08-27T00:00:00"/>
    <d v="2026-10-30T00:00:00"/>
    <m/>
    <m/>
    <s v="Not Started"/>
    <n v="0"/>
    <n v="36320302"/>
    <m/>
    <s v="2026-08-27T10:49:00"/>
    <s v="2026-08-27T10:49:00"/>
    <s v="system@alrashdeng.ae"/>
    <n v="1"/>
    <b v="1"/>
    <m/>
    <m/>
    <n v="-31"/>
    <x v="0"/>
    <x v="0"/>
  </r>
  <r>
    <s v="PH-PRJ-074-08"/>
    <x v="73"/>
    <x v="7"/>
    <d v="2026-10-30T00:00:00"/>
    <d v="2027-01-19T00:00:00"/>
    <m/>
    <m/>
    <s v="Not Started"/>
    <n v="0"/>
    <n v="45400377"/>
    <m/>
    <s v="2026-10-30T13:12:00"/>
    <s v="2026-10-30T13:12:00"/>
    <s v="system@alrashdeng.ae"/>
    <n v="1"/>
    <b v="1"/>
    <m/>
    <m/>
    <n v="-112"/>
    <x v="0"/>
    <x v="0"/>
  </r>
  <r>
    <s v="PH-PRJ-074-09"/>
    <x v="73"/>
    <x v="8"/>
    <d v="2027-01-19T00:00:00"/>
    <d v="2027-02-12T00:00:00"/>
    <m/>
    <m/>
    <s v="Not Started"/>
    <n v="0"/>
    <n v="13620113"/>
    <m/>
    <s v="2027-01-19T08:17:00"/>
    <s v="2027-01-19T08:17:00"/>
    <s v="system@alrashdeng.ae"/>
    <n v="1"/>
    <b v="1"/>
    <m/>
    <m/>
    <n v="-136"/>
    <x v="0"/>
    <x v="0"/>
  </r>
  <r>
    <s v="PH-PRJ-074-10"/>
    <x v="73"/>
    <x v="9"/>
    <d v="2027-02-12T00:00:00"/>
    <d v="2027-02-28T00:00:00"/>
    <m/>
    <m/>
    <s v="Not Started"/>
    <n v="0"/>
    <n v="9080075"/>
    <m/>
    <s v="2027-02-12T13:10:00"/>
    <s v="2027-02-12T13:10:00"/>
    <s v="system@alrashdeng.ae"/>
    <n v="1"/>
    <b v="1"/>
    <m/>
    <m/>
    <n v="-152"/>
    <x v="0"/>
    <x v="0"/>
  </r>
  <r>
    <s v="PH-PRJ-075-01"/>
    <x v="74"/>
    <x v="0"/>
    <d v="2020-05-12T00:00:00"/>
    <d v="2020-07-15T00:00:00"/>
    <d v="2020-05-12T00:00:00"/>
    <d v="2020-07-15T00:00:00"/>
    <s v="Completed"/>
    <n v="100"/>
    <n v="24358757"/>
    <m/>
    <s v="2020-05-12T17:19:00"/>
    <s v="2020-05-12T17:19:00"/>
    <s v="system@alrashdeng.ae"/>
    <n v="1"/>
    <b v="1"/>
    <m/>
    <n v="0"/>
    <m/>
    <x v="0"/>
    <x v="0"/>
  </r>
  <r>
    <s v="PH-PRJ-075-02"/>
    <x v="74"/>
    <x v="1"/>
    <d v="2020-07-15T00:00:00"/>
    <d v="2020-11-21T00:00:00"/>
    <d v="2020-07-15T00:00:00"/>
    <d v="2020-11-21T00:00:00"/>
    <s v="Completed"/>
    <n v="100"/>
    <n v="48717514"/>
    <m/>
    <s v="2020-07-15T16:41:00"/>
    <s v="2020-07-15T16:41:00"/>
    <s v="system@alrashdeng.ae"/>
    <n v="1"/>
    <b v="1"/>
    <m/>
    <n v="0"/>
    <m/>
    <x v="0"/>
    <x v="0"/>
  </r>
  <r>
    <s v="PH-PRJ-075-03"/>
    <x v="74"/>
    <x v="2"/>
    <d v="2020-11-21T00:00:00"/>
    <d v="2021-04-24T00:00:00"/>
    <d v="2020-11-21T00:00:00"/>
    <d v="2021-04-24T00:00:00"/>
    <s v="Completed"/>
    <n v="100"/>
    <n v="58461017"/>
    <m/>
    <s v="2020-11-21T08:09:00"/>
    <s v="2020-11-21T08:09:00"/>
    <s v="system@alrashdeng.ae"/>
    <n v="1"/>
    <b v="1"/>
    <s v="Critical Phase"/>
    <n v="0"/>
    <m/>
    <x v="0"/>
    <x v="0"/>
  </r>
  <r>
    <s v="PH-PRJ-075-04"/>
    <x v="74"/>
    <x v="3"/>
    <d v="2021-04-24T00:00:00"/>
    <d v="2021-11-03T00:00:00"/>
    <d v="2021-04-24T00:00:00"/>
    <d v="2021-11-03T00:00:00"/>
    <s v="Completed"/>
    <n v="100"/>
    <n v="73076271"/>
    <m/>
    <s v="2021-04-24T14:56:00"/>
    <s v="2021-04-24T14:56:00"/>
    <s v="system@alrashdeng.ae"/>
    <n v="1"/>
    <b v="1"/>
    <m/>
    <n v="0"/>
    <m/>
    <x v="0"/>
    <x v="0"/>
  </r>
  <r>
    <s v="PH-PRJ-075-05"/>
    <x v="74"/>
    <x v="4"/>
    <d v="2021-11-03T00:00:00"/>
    <d v="2022-09-21T00:00:00"/>
    <d v="2021-11-03T00:00:00"/>
    <d v="2022-09-21T00:00:00"/>
    <s v="Completed"/>
    <n v="100"/>
    <n v="121793786"/>
    <m/>
    <s v="2021-11-03T08:47:00"/>
    <s v="2021-11-03T08:47:00"/>
    <s v="system@alrashdeng.ae"/>
    <n v="1"/>
    <b v="1"/>
    <s v="Critical Phase"/>
    <n v="0"/>
    <m/>
    <x v="0"/>
    <x v="0"/>
  </r>
  <r>
    <s v="PH-PRJ-075-06"/>
    <x v="74"/>
    <x v="5"/>
    <d v="2022-09-21T00:00:00"/>
    <d v="2023-01-28T00:00:00"/>
    <d v="2022-09-21T00:00:00"/>
    <d v="2023-01-28T00:00:00"/>
    <s v="Completed"/>
    <n v="100"/>
    <n v="48717514"/>
    <m/>
    <s v="2022-09-21T08:15:00"/>
    <s v="2022-09-21T08:15:00"/>
    <s v="system@alrashdeng.ae"/>
    <n v="1"/>
    <b v="1"/>
    <m/>
    <n v="0"/>
    <m/>
    <x v="0"/>
    <x v="0"/>
  </r>
  <r>
    <s v="PH-PRJ-075-07"/>
    <x v="74"/>
    <x v="6"/>
    <d v="2023-01-28T00:00:00"/>
    <d v="2023-05-11T00:00:00"/>
    <d v="2023-01-28T00:00:00"/>
    <d v="2023-05-11T00:00:00"/>
    <s v="Completed"/>
    <n v="100"/>
    <n v="38974011"/>
    <m/>
    <s v="2023-01-28T07:57:00"/>
    <s v="2023-01-28T07:57:00"/>
    <s v="system@alrashdeng.ae"/>
    <n v="1"/>
    <b v="1"/>
    <m/>
    <n v="0"/>
    <m/>
    <x v="0"/>
    <x v="0"/>
  </r>
  <r>
    <s v="PH-PRJ-075-08"/>
    <x v="74"/>
    <x v="7"/>
    <d v="2023-05-11T00:00:00"/>
    <d v="2023-09-17T00:00:00"/>
    <d v="2023-05-11T00:00:00"/>
    <d v="2023-09-17T00:00:00"/>
    <s v="Completed"/>
    <n v="100"/>
    <n v="48717514"/>
    <m/>
    <s v="2023-05-11T14:11:00"/>
    <s v="2023-05-11T14:11:00"/>
    <s v="system@alrashdeng.ae"/>
    <n v="1"/>
    <b v="1"/>
    <m/>
    <n v="0"/>
    <m/>
    <x v="0"/>
    <x v="0"/>
  </r>
  <r>
    <s v="PH-PRJ-075-09"/>
    <x v="74"/>
    <x v="8"/>
    <d v="2023-09-17T00:00:00"/>
    <d v="2023-10-25T00:00:00"/>
    <d v="2023-09-17T00:00:00"/>
    <d v="2023-10-25T00:00:00"/>
    <s v="Completed"/>
    <n v="100"/>
    <n v="14615254"/>
    <m/>
    <s v="2023-09-17T11:01:00"/>
    <s v="2023-09-17T11:01:00"/>
    <s v="system@alrashdeng.ae"/>
    <n v="1"/>
    <b v="1"/>
    <m/>
    <n v="0"/>
    <m/>
    <x v="0"/>
    <x v="0"/>
  </r>
  <r>
    <s v="PH-PRJ-075-10"/>
    <x v="74"/>
    <x v="9"/>
    <d v="2023-10-25T00:00:00"/>
    <d v="2023-11-19T00:00:00"/>
    <d v="2023-10-25T00:00:00"/>
    <d v="2023-11-19T00:00:00"/>
    <s v="Completed"/>
    <n v="100"/>
    <n v="9743502"/>
    <m/>
    <s v="2023-10-25T14:42:00"/>
    <s v="2023-10-25T14:42:00"/>
    <s v="system@alrashdeng.ae"/>
    <n v="1"/>
    <b v="1"/>
    <m/>
    <n v="0"/>
    <m/>
    <x v="0"/>
    <x v="0"/>
  </r>
  <r>
    <s v="PH-PRJ-076-01"/>
    <x v="75"/>
    <x v="0"/>
    <d v="2022-02-06T00:00:00"/>
    <d v="2022-04-05T00:00:00"/>
    <d v="2022-02-06T00:00:00"/>
    <d v="2022-04-05T00:00:00"/>
    <s v="Completed"/>
    <n v="100"/>
    <n v="13089806"/>
    <m/>
    <s v="2022-02-06T15:28:00"/>
    <s v="2022-02-06T15:28:00"/>
    <s v="system@alrashdeng.ae"/>
    <n v="1"/>
    <b v="1"/>
    <m/>
    <n v="0"/>
    <m/>
    <x v="0"/>
    <x v="0"/>
  </r>
  <r>
    <s v="PH-PRJ-076-02"/>
    <x v="75"/>
    <x v="1"/>
    <d v="2022-04-05T00:00:00"/>
    <d v="2022-07-31T00:00:00"/>
    <d v="2022-04-05T00:00:00"/>
    <d v="2022-07-31T00:00:00"/>
    <s v="Completed"/>
    <n v="100"/>
    <n v="26179613"/>
    <m/>
    <s v="2022-04-05T12:16:00"/>
    <s v="2022-04-05T12:16:00"/>
    <s v="system@alrashdeng.ae"/>
    <n v="1"/>
    <b v="1"/>
    <m/>
    <n v="0"/>
    <m/>
    <x v="0"/>
    <x v="0"/>
  </r>
  <r>
    <s v="PH-PRJ-076-03"/>
    <x v="75"/>
    <x v="2"/>
    <d v="2022-07-31T00:00:00"/>
    <d v="2022-12-18T00:00:00"/>
    <d v="2022-07-31T00:00:00"/>
    <d v="2022-12-18T00:00:00"/>
    <s v="Completed"/>
    <n v="100"/>
    <n v="31415536"/>
    <m/>
    <s v="2022-07-31T08:59:00"/>
    <s v="2022-07-31T08:59:00"/>
    <s v="system@alrashdeng.ae"/>
    <n v="1"/>
    <b v="1"/>
    <s v="Critical Phase"/>
    <n v="0"/>
    <m/>
    <x v="0"/>
    <x v="0"/>
  </r>
  <r>
    <s v="PH-PRJ-076-04"/>
    <x v="75"/>
    <x v="3"/>
    <d v="2022-12-18T00:00:00"/>
    <d v="2023-06-11T00:00:00"/>
    <d v="2022-12-18T00:00:00"/>
    <d v="2023-06-11T00:00:00"/>
    <s v="Completed"/>
    <n v="100"/>
    <n v="39269420"/>
    <m/>
    <s v="2022-12-18T15:05:00"/>
    <s v="2022-12-18T15:05:00"/>
    <s v="system@alrashdeng.ae"/>
    <n v="1"/>
    <b v="1"/>
    <m/>
    <n v="0"/>
    <m/>
    <x v="0"/>
    <x v="0"/>
  </r>
  <r>
    <s v="PH-PRJ-076-05"/>
    <x v="75"/>
    <x v="4"/>
    <d v="2023-06-11T00:00:00"/>
    <d v="2024-03-29T00:00:00"/>
    <d v="2023-06-11T00:00:00"/>
    <d v="2024-03-29T00:00:00"/>
    <s v="Completed"/>
    <n v="100"/>
    <n v="65449033"/>
    <m/>
    <s v="2023-06-11T12:27:00"/>
    <s v="2023-06-11T12:27:00"/>
    <s v="system@alrashdeng.ae"/>
    <n v="1"/>
    <b v="1"/>
    <s v="Critical Phase"/>
    <n v="0"/>
    <m/>
    <x v="0"/>
    <x v="0"/>
  </r>
  <r>
    <s v="PH-PRJ-076-06"/>
    <x v="75"/>
    <x v="5"/>
    <d v="2024-03-29T00:00:00"/>
    <d v="2024-07-24T00:00:00"/>
    <d v="2024-03-29T00:00:00"/>
    <d v="2024-07-24T00:00:00"/>
    <s v="Completed"/>
    <n v="100"/>
    <n v="26179613"/>
    <m/>
    <s v="2024-03-29T10:09:00"/>
    <s v="2024-03-29T10:09:00"/>
    <s v="system@alrashdeng.ae"/>
    <n v="1"/>
    <b v="1"/>
    <m/>
    <n v="0"/>
    <m/>
    <x v="0"/>
    <x v="0"/>
  </r>
  <r>
    <s v="PH-PRJ-076-07"/>
    <x v="75"/>
    <x v="6"/>
    <d v="2024-07-24T00:00:00"/>
    <d v="2024-10-25T00:00:00"/>
    <d v="2024-07-24T00:00:00"/>
    <d v="2024-10-25T00:00:00"/>
    <s v="Completed"/>
    <n v="100"/>
    <n v="20943690"/>
    <m/>
    <s v="2024-07-24T13:32:00"/>
    <s v="2024-07-24T13:32:00"/>
    <s v="system@alrashdeng.ae"/>
    <n v="1"/>
    <b v="1"/>
    <m/>
    <n v="0"/>
    <m/>
    <x v="0"/>
    <x v="0"/>
  </r>
  <r>
    <s v="PH-PRJ-076-08"/>
    <x v="75"/>
    <x v="7"/>
    <d v="2024-10-25T00:00:00"/>
    <d v="2025-02-19T00:00:00"/>
    <d v="2024-10-25T00:00:00"/>
    <d v="2025-02-19T00:00:00"/>
    <s v="Completed"/>
    <n v="100"/>
    <n v="26179613"/>
    <m/>
    <s v="2024-10-25T13:32:00"/>
    <s v="2024-10-25T13:32:00"/>
    <s v="system@alrashdeng.ae"/>
    <n v="1"/>
    <b v="1"/>
    <m/>
    <n v="0"/>
    <m/>
    <x v="0"/>
    <x v="0"/>
  </r>
  <r>
    <s v="PH-PRJ-076-09"/>
    <x v="75"/>
    <x v="8"/>
    <d v="2025-02-19T00:00:00"/>
    <d v="2025-03-26T00:00:00"/>
    <d v="2025-02-19T00:00:00"/>
    <d v="2025-03-26T00:00:00"/>
    <s v="Completed"/>
    <n v="100"/>
    <n v="7853884"/>
    <m/>
    <s v="2025-02-19T12:03:00"/>
    <s v="2025-02-19T12:03:00"/>
    <s v="system@alrashdeng.ae"/>
    <n v="1"/>
    <b v="1"/>
    <m/>
    <n v="0"/>
    <m/>
    <x v="0"/>
    <x v="0"/>
  </r>
  <r>
    <s v="PH-PRJ-076-10"/>
    <x v="75"/>
    <x v="9"/>
    <d v="2025-03-26T00:00:00"/>
    <d v="2025-04-18T00:00:00"/>
    <d v="2025-03-26T00:00:00"/>
    <d v="2025-04-18T00:00:00"/>
    <s v="Completed"/>
    <n v="100"/>
    <n v="5235922"/>
    <m/>
    <s v="2025-03-26T14:17:00"/>
    <s v="2025-03-26T14:17:00"/>
    <s v="system@alrashdeng.ae"/>
    <n v="1"/>
    <b v="1"/>
    <m/>
    <n v="0"/>
    <m/>
    <x v="0"/>
    <x v="0"/>
  </r>
  <r>
    <s v="PH-PRJ-077-01"/>
    <x v="76"/>
    <x v="0"/>
    <d v="2022-02-24T00:00:00"/>
    <d v="2022-03-14T00:00:00"/>
    <d v="2022-02-24T00:00:00"/>
    <d v="2022-03-14T00:00:00"/>
    <s v="Completed"/>
    <n v="100"/>
    <n v="567290"/>
    <m/>
    <s v="2022-02-24T12:06:00"/>
    <s v="2022-02-24T12:06:00"/>
    <s v="system@alrashdeng.ae"/>
    <n v="1"/>
    <b v="1"/>
    <m/>
    <n v="0"/>
    <m/>
    <x v="0"/>
    <x v="0"/>
  </r>
  <r>
    <s v="PH-PRJ-077-02"/>
    <x v="76"/>
    <x v="1"/>
    <d v="2022-03-14T00:00:00"/>
    <d v="2022-04-19T00:00:00"/>
    <d v="2022-03-14T00:00:00"/>
    <d v="2022-04-19T00:00:00"/>
    <s v="Completed"/>
    <n v="100"/>
    <n v="1134580"/>
    <m/>
    <s v="2022-03-14T07:41:00"/>
    <s v="2022-03-14T07:41:00"/>
    <s v="system@alrashdeng.ae"/>
    <n v="1"/>
    <b v="1"/>
    <m/>
    <n v="0"/>
    <m/>
    <x v="0"/>
    <x v="0"/>
  </r>
  <r>
    <s v="PH-PRJ-077-03"/>
    <x v="76"/>
    <x v="2"/>
    <d v="2022-04-19T00:00:00"/>
    <d v="2022-06-01T00:00:00"/>
    <d v="2022-04-19T00:00:00"/>
    <d v="2022-06-01T00:00:00"/>
    <s v="Completed"/>
    <n v="100"/>
    <n v="1361496"/>
    <m/>
    <s v="2022-04-19T13:46:00"/>
    <s v="2022-04-19T13:46:00"/>
    <s v="system@alrashdeng.ae"/>
    <n v="1"/>
    <b v="1"/>
    <s v="Critical Phase"/>
    <n v="0"/>
    <m/>
    <x v="0"/>
    <x v="0"/>
  </r>
  <r>
    <s v="PH-PRJ-077-04"/>
    <x v="76"/>
    <x v="3"/>
    <d v="2022-06-01T00:00:00"/>
    <d v="2022-07-25T00:00:00"/>
    <d v="2022-06-01T00:00:00"/>
    <d v="2022-07-25T00:00:00"/>
    <s v="Completed"/>
    <n v="100"/>
    <n v="1701870"/>
    <m/>
    <s v="2022-06-01T13:12:00"/>
    <s v="2022-06-01T13:12:00"/>
    <s v="system@alrashdeng.ae"/>
    <n v="1"/>
    <b v="1"/>
    <m/>
    <n v="0"/>
    <m/>
    <x v="0"/>
    <x v="0"/>
  </r>
  <r>
    <s v="PH-PRJ-077-05"/>
    <x v="76"/>
    <x v="4"/>
    <d v="2022-07-25T00:00:00"/>
    <d v="2022-10-23T00:00:00"/>
    <d v="2022-07-25T00:00:00"/>
    <d v="2022-10-23T00:00:00"/>
    <s v="Completed"/>
    <n v="100"/>
    <n v="2836450"/>
    <m/>
    <s v="2022-07-25T11:12:00"/>
    <s v="2022-07-25T11:12:00"/>
    <s v="system@alrashdeng.ae"/>
    <n v="1"/>
    <b v="1"/>
    <s v="Critical Phase"/>
    <n v="0"/>
    <m/>
    <x v="0"/>
    <x v="0"/>
  </r>
  <r>
    <s v="PH-PRJ-077-06"/>
    <x v="76"/>
    <x v="5"/>
    <d v="2022-10-23T00:00:00"/>
    <d v="2022-11-28T00:00:00"/>
    <d v="2022-10-23T00:00:00"/>
    <d v="2022-11-28T00:00:00"/>
    <s v="Completed"/>
    <n v="100"/>
    <n v="1134580"/>
    <m/>
    <s v="2022-10-23T13:11:00"/>
    <s v="2022-10-23T13:11:00"/>
    <s v="system@alrashdeng.ae"/>
    <n v="1"/>
    <b v="1"/>
    <m/>
    <n v="0"/>
    <m/>
    <x v="0"/>
    <x v="0"/>
  </r>
  <r>
    <s v="PH-PRJ-077-07"/>
    <x v="76"/>
    <x v="6"/>
    <d v="2022-11-28T00:00:00"/>
    <d v="2022-12-26T00:00:00"/>
    <d v="2022-11-28T00:00:00"/>
    <d v="2022-12-26T00:00:00"/>
    <s v="Completed"/>
    <n v="100"/>
    <n v="907664"/>
    <m/>
    <s v="2022-11-28T16:17:00"/>
    <s v="2022-11-28T16:17:00"/>
    <s v="system@alrashdeng.ae"/>
    <n v="1"/>
    <b v="1"/>
    <m/>
    <n v="0"/>
    <m/>
    <x v="0"/>
    <x v="0"/>
  </r>
  <r>
    <s v="PH-PRJ-077-08"/>
    <x v="76"/>
    <x v="7"/>
    <d v="2022-12-26T00:00:00"/>
    <d v="2023-01-31T00:00:00"/>
    <d v="2022-12-26T00:00:00"/>
    <d v="2023-01-31T00:00:00"/>
    <s v="Completed"/>
    <n v="100"/>
    <n v="1134580"/>
    <m/>
    <s v="2022-12-26T15:38:00"/>
    <s v="2022-12-26T15:38:00"/>
    <s v="system@alrashdeng.ae"/>
    <n v="1"/>
    <b v="1"/>
    <m/>
    <n v="0"/>
    <m/>
    <x v="0"/>
    <x v="0"/>
  </r>
  <r>
    <s v="PH-PRJ-077-09"/>
    <x v="76"/>
    <x v="8"/>
    <d v="2023-01-31T00:00:00"/>
    <d v="2023-02-10T00:00:00"/>
    <d v="2023-01-31T00:00:00"/>
    <d v="2023-02-10T00:00:00"/>
    <s v="Completed"/>
    <n v="100"/>
    <n v="340374"/>
    <m/>
    <s v="2023-01-31T14:33:00"/>
    <s v="2023-01-31T14:33:00"/>
    <s v="system@alrashdeng.ae"/>
    <n v="1"/>
    <b v="1"/>
    <m/>
    <n v="0"/>
    <m/>
    <x v="0"/>
    <x v="0"/>
  </r>
  <r>
    <s v="PH-PRJ-077-10"/>
    <x v="76"/>
    <x v="9"/>
    <d v="2023-02-10T00:00:00"/>
    <d v="2023-02-17T00:00:00"/>
    <d v="2023-02-10T00:00:00"/>
    <d v="2023-02-17T00:00:00"/>
    <s v="Completed"/>
    <n v="100"/>
    <n v="226916"/>
    <m/>
    <s v="2023-02-10T13:06:00"/>
    <s v="2023-02-10T13:06:00"/>
    <s v="system@alrashdeng.ae"/>
    <n v="1"/>
    <b v="1"/>
    <m/>
    <n v="0"/>
    <m/>
    <x v="0"/>
    <x v="0"/>
  </r>
  <r>
    <s v="PH-PRJ-078-01"/>
    <x v="77"/>
    <x v="0"/>
    <d v="2021-10-07T00:00:00"/>
    <d v="2021-11-25T00:00:00"/>
    <d v="2021-10-07T00:00:00"/>
    <d v="2021-11-25T00:00:00"/>
    <s v="Completed"/>
    <n v="100"/>
    <n v="10072701"/>
    <m/>
    <s v="2021-10-07T17:03:00"/>
    <s v="2021-10-07T17:03:00"/>
    <s v="system@alrashdeng.ae"/>
    <n v="1"/>
    <b v="1"/>
    <m/>
    <n v="0"/>
    <m/>
    <x v="0"/>
    <x v="0"/>
  </r>
  <r>
    <s v="PH-PRJ-078-02"/>
    <x v="77"/>
    <x v="1"/>
    <d v="2021-11-25T00:00:00"/>
    <d v="2022-03-04T00:00:00"/>
    <d v="2021-11-25T00:00:00"/>
    <d v="2022-03-04T00:00:00"/>
    <s v="Completed"/>
    <n v="100"/>
    <n v="20145403"/>
    <m/>
    <s v="2021-11-25T17:15:00"/>
    <s v="2021-11-25T17:15:00"/>
    <s v="system@alrashdeng.ae"/>
    <n v="1"/>
    <b v="1"/>
    <m/>
    <n v="0"/>
    <m/>
    <x v="0"/>
    <x v="0"/>
  </r>
  <r>
    <s v="PH-PRJ-078-03"/>
    <x v="77"/>
    <x v="2"/>
    <d v="2022-03-04T00:00:00"/>
    <d v="2022-06-30T00:00:00"/>
    <d v="2022-03-04T00:00:00"/>
    <d v="2022-06-30T00:00:00"/>
    <s v="Completed"/>
    <n v="100"/>
    <n v="24174483"/>
    <m/>
    <s v="2022-03-04T08:14:00"/>
    <s v="2022-03-04T08:14:00"/>
    <s v="system@alrashdeng.ae"/>
    <n v="1"/>
    <b v="1"/>
    <s v="Critical Phase"/>
    <n v="0"/>
    <m/>
    <x v="0"/>
    <x v="0"/>
  </r>
  <r>
    <s v="PH-PRJ-078-04"/>
    <x v="77"/>
    <x v="3"/>
    <d v="2022-06-30T00:00:00"/>
    <d v="2022-11-25T00:00:00"/>
    <d v="2022-06-30T00:00:00"/>
    <d v="2022-11-25T00:00:00"/>
    <s v="Completed"/>
    <n v="100"/>
    <n v="30218104"/>
    <m/>
    <s v="2022-06-30T08:03:00"/>
    <s v="2022-06-30T08:03:00"/>
    <s v="system@alrashdeng.ae"/>
    <n v="1"/>
    <b v="1"/>
    <m/>
    <n v="0"/>
    <m/>
    <x v="0"/>
    <x v="0"/>
  </r>
  <r>
    <s v="PH-PRJ-078-05"/>
    <x v="77"/>
    <x v="4"/>
    <d v="2022-11-25T00:00:00"/>
    <d v="2023-07-30T00:00:00"/>
    <d v="2022-11-25T00:00:00"/>
    <d v="2023-07-30T00:00:00"/>
    <s v="Completed"/>
    <n v="100"/>
    <n v="50363508"/>
    <m/>
    <s v="2022-11-25T07:36:00"/>
    <s v="2022-11-25T07:36:00"/>
    <s v="system@alrashdeng.ae"/>
    <n v="1"/>
    <b v="1"/>
    <s v="Critical Phase"/>
    <n v="0"/>
    <m/>
    <x v="0"/>
    <x v="0"/>
  </r>
  <r>
    <s v="PH-PRJ-078-06"/>
    <x v="77"/>
    <x v="5"/>
    <d v="2023-07-30T00:00:00"/>
    <d v="2023-11-06T00:00:00"/>
    <d v="2023-07-30T00:00:00"/>
    <d v="2023-11-06T00:00:00"/>
    <s v="Completed"/>
    <n v="100"/>
    <n v="20145403"/>
    <m/>
    <s v="2023-07-30T11:15:00"/>
    <s v="2023-07-30T11:15:00"/>
    <s v="system@alrashdeng.ae"/>
    <n v="1"/>
    <b v="1"/>
    <m/>
    <n v="0"/>
    <m/>
    <x v="0"/>
    <x v="0"/>
  </r>
  <r>
    <s v="PH-PRJ-078-07"/>
    <x v="77"/>
    <x v="6"/>
    <d v="2023-11-06T00:00:00"/>
    <d v="2024-01-24T00:00:00"/>
    <d v="2023-11-06T00:00:00"/>
    <d v="2024-01-24T00:00:00"/>
    <s v="Completed"/>
    <n v="100"/>
    <n v="16116322"/>
    <m/>
    <s v="2023-11-06T08:34:00"/>
    <s v="2023-11-06T08:34:00"/>
    <s v="system@alrashdeng.ae"/>
    <n v="1"/>
    <b v="1"/>
    <m/>
    <n v="0"/>
    <m/>
    <x v="0"/>
    <x v="0"/>
  </r>
  <r>
    <s v="PH-PRJ-078-08"/>
    <x v="77"/>
    <x v="7"/>
    <d v="2024-01-24T00:00:00"/>
    <d v="2024-05-02T00:00:00"/>
    <d v="2024-01-24T00:00:00"/>
    <d v="2024-05-02T00:00:00"/>
    <s v="Completed"/>
    <n v="100"/>
    <n v="20145403"/>
    <m/>
    <s v="2024-01-24T08:17:00"/>
    <s v="2024-01-24T08:17:00"/>
    <s v="system@alrashdeng.ae"/>
    <n v="1"/>
    <b v="1"/>
    <m/>
    <n v="0"/>
    <m/>
    <x v="0"/>
    <x v="0"/>
  </r>
  <r>
    <s v="PH-PRJ-078-09"/>
    <x v="77"/>
    <x v="8"/>
    <d v="2024-05-02T00:00:00"/>
    <d v="2024-05-31T00:00:00"/>
    <d v="2024-05-02T00:00:00"/>
    <d v="2024-05-31T00:00:00"/>
    <s v="Completed"/>
    <n v="100"/>
    <n v="6043620"/>
    <m/>
    <s v="2024-05-02T10:56:00"/>
    <s v="2024-05-02T10:56:00"/>
    <s v="system@alrashdeng.ae"/>
    <n v="1"/>
    <b v="1"/>
    <m/>
    <n v="0"/>
    <m/>
    <x v="0"/>
    <x v="0"/>
  </r>
  <r>
    <s v="PH-PRJ-078-10"/>
    <x v="77"/>
    <x v="9"/>
    <d v="2024-05-31T00:00:00"/>
    <d v="2024-06-19T00:00:00"/>
    <d v="2024-05-31T00:00:00"/>
    <d v="2024-06-19T00:00:00"/>
    <s v="Completed"/>
    <n v="100"/>
    <n v="4029080"/>
    <m/>
    <s v="2024-05-31T16:44:00"/>
    <s v="2024-05-31T16:44:00"/>
    <s v="system@alrashdeng.ae"/>
    <n v="1"/>
    <b v="1"/>
    <m/>
    <n v="0"/>
    <m/>
    <x v="0"/>
    <x v="0"/>
  </r>
  <r>
    <s v="PH-PRJ-079-01"/>
    <x v="78"/>
    <x v="0"/>
    <d v="2021-06-30T00:00:00"/>
    <d v="2021-08-08T00:00:00"/>
    <d v="2021-06-30T00:00:00"/>
    <d v="2021-08-08T00:00:00"/>
    <s v="Completed"/>
    <n v="100"/>
    <n v="22105764"/>
    <m/>
    <s v="2021-06-30T13:25:00"/>
    <s v="2021-06-30T13:25:00"/>
    <s v="system@alrashdeng.ae"/>
    <n v="1"/>
    <b v="1"/>
    <m/>
    <n v="0"/>
    <m/>
    <x v="0"/>
    <x v="0"/>
  </r>
  <r>
    <s v="PH-PRJ-079-02"/>
    <x v="78"/>
    <x v="1"/>
    <d v="2021-08-08T00:00:00"/>
    <d v="2021-10-25T00:00:00"/>
    <d v="2021-08-08T00:00:00"/>
    <d v="2021-10-25T00:00:00"/>
    <s v="Completed"/>
    <n v="100"/>
    <n v="44211528"/>
    <m/>
    <s v="2021-08-08T13:06:00"/>
    <s v="2021-08-08T13:06:00"/>
    <s v="system@alrashdeng.ae"/>
    <n v="1"/>
    <b v="1"/>
    <m/>
    <n v="0"/>
    <m/>
    <x v="0"/>
    <x v="0"/>
  </r>
  <r>
    <s v="PH-PRJ-079-03"/>
    <x v="78"/>
    <x v="2"/>
    <d v="2021-10-25T00:00:00"/>
    <d v="2022-01-26T00:00:00"/>
    <d v="2021-10-25T00:00:00"/>
    <d v="2022-01-26T00:00:00"/>
    <s v="Completed"/>
    <n v="100"/>
    <n v="53053834"/>
    <m/>
    <s v="2021-10-25T10:46:00"/>
    <s v="2021-10-25T10:46:00"/>
    <s v="system@alrashdeng.ae"/>
    <n v="1"/>
    <b v="1"/>
    <s v="Critical Phase"/>
    <n v="0"/>
    <m/>
    <x v="0"/>
    <x v="0"/>
  </r>
  <r>
    <s v="PH-PRJ-079-04"/>
    <x v="78"/>
    <x v="3"/>
    <d v="2022-01-26T00:00:00"/>
    <d v="2022-05-23T00:00:00"/>
    <d v="2022-01-26T00:00:00"/>
    <d v="2022-05-23T00:00:00"/>
    <s v="Completed"/>
    <n v="100"/>
    <n v="66317293"/>
    <m/>
    <s v="2022-01-26T11:31:00"/>
    <s v="2022-01-26T11:31:00"/>
    <s v="system@alrashdeng.ae"/>
    <n v="1"/>
    <b v="1"/>
    <m/>
    <n v="0"/>
    <m/>
    <x v="0"/>
    <x v="0"/>
  </r>
  <r>
    <s v="PH-PRJ-079-05"/>
    <x v="78"/>
    <x v="4"/>
    <d v="2022-05-23T00:00:00"/>
    <d v="2022-12-04T00:00:00"/>
    <d v="2022-05-23T00:00:00"/>
    <d v="2022-12-04T00:00:00"/>
    <s v="Completed"/>
    <n v="100"/>
    <n v="110528821"/>
    <m/>
    <s v="2022-05-23T10:10:00"/>
    <s v="2022-05-23T10:10:00"/>
    <s v="system@alrashdeng.ae"/>
    <n v="1"/>
    <b v="1"/>
    <s v="Critical Phase"/>
    <n v="0"/>
    <m/>
    <x v="0"/>
    <x v="0"/>
  </r>
  <r>
    <s v="PH-PRJ-079-06"/>
    <x v="78"/>
    <x v="5"/>
    <d v="2022-12-04T00:00:00"/>
    <d v="2023-02-20T00:00:00"/>
    <d v="2022-12-04T00:00:00"/>
    <d v="2023-02-20T00:00:00"/>
    <s v="Completed"/>
    <n v="100"/>
    <n v="44211528"/>
    <m/>
    <s v="2022-12-04T10:22:00"/>
    <s v="2022-12-04T10:22:00"/>
    <s v="system@alrashdeng.ae"/>
    <n v="1"/>
    <b v="1"/>
    <m/>
    <n v="0"/>
    <m/>
    <x v="0"/>
    <x v="0"/>
  </r>
  <r>
    <s v="PH-PRJ-079-07"/>
    <x v="78"/>
    <x v="6"/>
    <d v="2023-02-20T00:00:00"/>
    <d v="2023-04-23T00:00:00"/>
    <d v="2023-02-20T00:00:00"/>
    <d v="2023-04-23T00:00:00"/>
    <s v="Completed"/>
    <n v="100"/>
    <n v="35369222"/>
    <m/>
    <s v="2023-02-20T17:18:00"/>
    <s v="2023-02-20T17:18:00"/>
    <s v="system@alrashdeng.ae"/>
    <n v="1"/>
    <b v="1"/>
    <m/>
    <n v="0"/>
    <m/>
    <x v="0"/>
    <x v="0"/>
  </r>
  <r>
    <s v="PH-PRJ-079-08"/>
    <x v="78"/>
    <x v="7"/>
    <d v="2023-04-23T00:00:00"/>
    <d v="2023-07-10T00:00:00"/>
    <d v="2023-04-23T00:00:00"/>
    <d v="2023-07-10T00:00:00"/>
    <s v="Completed"/>
    <n v="100"/>
    <n v="44211528"/>
    <m/>
    <s v="2023-04-23T16:18:00"/>
    <s v="2023-04-23T16:18:00"/>
    <s v="system@alrashdeng.ae"/>
    <n v="1"/>
    <b v="1"/>
    <m/>
    <n v="0"/>
    <m/>
    <x v="0"/>
    <x v="0"/>
  </r>
  <r>
    <s v="PH-PRJ-079-09"/>
    <x v="78"/>
    <x v="8"/>
    <d v="2023-07-10T00:00:00"/>
    <d v="2023-08-02T00:00:00"/>
    <d v="2023-07-10T00:00:00"/>
    <d v="2023-08-02T00:00:00"/>
    <s v="Completed"/>
    <n v="100"/>
    <n v="13263458"/>
    <m/>
    <s v="2023-07-10T07:06:00"/>
    <s v="2023-07-10T07:06:00"/>
    <s v="system@alrashdeng.ae"/>
    <n v="1"/>
    <b v="1"/>
    <m/>
    <n v="0"/>
    <m/>
    <x v="0"/>
    <x v="0"/>
  </r>
  <r>
    <s v="PH-PRJ-079-10"/>
    <x v="78"/>
    <x v="9"/>
    <d v="2023-08-02T00:00:00"/>
    <d v="2023-08-17T00:00:00"/>
    <d v="2023-08-02T00:00:00"/>
    <d v="2023-08-17T00:00:00"/>
    <s v="Completed"/>
    <n v="100"/>
    <n v="8842305"/>
    <m/>
    <s v="2023-08-02T09:32:00"/>
    <s v="2023-08-02T09:32:00"/>
    <s v="system@alrashdeng.ae"/>
    <n v="1"/>
    <b v="1"/>
    <m/>
    <n v="0"/>
    <m/>
    <x v="0"/>
    <x v="0"/>
  </r>
  <r>
    <s v="PH-PRJ-080-01"/>
    <x v="79"/>
    <x v="0"/>
    <d v="2022-06-25T00:00:00"/>
    <d v="2022-08-28T00:00:00"/>
    <d v="2022-06-25T00:00:00"/>
    <d v="2022-08-28T00:00:00"/>
    <s v="Completed"/>
    <n v="100"/>
    <n v="3859696"/>
    <m/>
    <s v="2022-06-25T16:30:00"/>
    <s v="2022-06-25T16:30:00"/>
    <s v="system@alrashdeng.ae"/>
    <n v="1"/>
    <b v="1"/>
    <m/>
    <n v="0"/>
    <m/>
    <x v="0"/>
    <x v="0"/>
  </r>
  <r>
    <s v="PH-PRJ-080-02"/>
    <x v="79"/>
    <x v="1"/>
    <d v="2022-08-28T00:00:00"/>
    <d v="2023-01-04T00:00:00"/>
    <d v="2022-08-28T00:00:00"/>
    <d v="2023-01-04T00:00:00"/>
    <s v="Completed"/>
    <n v="100"/>
    <n v="7719393"/>
    <m/>
    <s v="2022-08-28T11:54:00"/>
    <s v="2022-08-28T11:54:00"/>
    <s v="system@alrashdeng.ae"/>
    <n v="1"/>
    <b v="1"/>
    <m/>
    <n v="0"/>
    <m/>
    <x v="0"/>
    <x v="0"/>
  </r>
  <r>
    <s v="PH-PRJ-080-03"/>
    <x v="79"/>
    <x v="2"/>
    <d v="2023-01-04T00:00:00"/>
    <d v="2023-06-07T00:00:00"/>
    <d v="2023-01-04T00:00:00"/>
    <d v="2023-06-07T00:00:00"/>
    <s v="Completed"/>
    <n v="100"/>
    <n v="9263271"/>
    <m/>
    <s v="2023-01-04T10:10:00"/>
    <s v="2023-01-04T10:10:00"/>
    <s v="system@alrashdeng.ae"/>
    <n v="1"/>
    <b v="1"/>
    <s v="Critical Phase"/>
    <n v="0"/>
    <m/>
    <x v="0"/>
    <x v="0"/>
  </r>
  <r>
    <s v="PH-PRJ-080-04"/>
    <x v="79"/>
    <x v="3"/>
    <d v="2023-06-07T00:00:00"/>
    <d v="2023-12-17T00:00:00"/>
    <d v="2023-06-07T00:00:00"/>
    <d v="2023-12-17T00:00:00"/>
    <s v="Completed"/>
    <n v="100"/>
    <n v="11579089"/>
    <m/>
    <s v="2023-06-07T12:43:00"/>
    <s v="2023-06-07T12:43:00"/>
    <s v="system@alrashdeng.ae"/>
    <n v="1"/>
    <b v="1"/>
    <m/>
    <n v="0"/>
    <m/>
    <x v="0"/>
    <x v="0"/>
  </r>
  <r>
    <s v="PH-PRJ-080-05"/>
    <x v="79"/>
    <x v="4"/>
    <d v="2023-12-17T00:00:00"/>
    <d v="2024-11-03T00:00:00"/>
    <d v="2023-12-17T00:00:00"/>
    <d v="2024-11-03T00:00:00"/>
    <s v="Completed"/>
    <n v="100"/>
    <n v="19298483"/>
    <m/>
    <s v="2023-12-17T08:10:00"/>
    <s v="2023-12-17T08:10:00"/>
    <s v="system@alrashdeng.ae"/>
    <n v="1"/>
    <b v="1"/>
    <s v="Critical Phase"/>
    <n v="0"/>
    <m/>
    <x v="0"/>
    <x v="0"/>
  </r>
  <r>
    <s v="PH-PRJ-080-06"/>
    <x v="79"/>
    <x v="5"/>
    <d v="2024-11-03T00:00:00"/>
    <d v="2025-03-12T00:00:00"/>
    <d v="2024-11-03T00:00:00"/>
    <d v="2025-03-12T00:00:00"/>
    <s v="Completed"/>
    <n v="100"/>
    <n v="7719393"/>
    <m/>
    <s v="2024-11-03T09:21:00"/>
    <s v="2024-11-03T09:21:00"/>
    <s v="system@alrashdeng.ae"/>
    <n v="1"/>
    <b v="1"/>
    <m/>
    <n v="0"/>
    <m/>
    <x v="0"/>
    <x v="0"/>
  </r>
  <r>
    <s v="PH-PRJ-080-07"/>
    <x v="79"/>
    <x v="6"/>
    <d v="2025-03-12T00:00:00"/>
    <d v="2025-06-23T00:00:00"/>
    <d v="2025-03-12T00:00:00"/>
    <d v="2025-06-23T00:00:00"/>
    <s v="Completed"/>
    <n v="100"/>
    <n v="6175514"/>
    <m/>
    <s v="2025-03-12T14:09:00"/>
    <s v="2025-03-12T14:09:00"/>
    <s v="system@alrashdeng.ae"/>
    <n v="1"/>
    <b v="1"/>
    <m/>
    <n v="0"/>
    <m/>
    <x v="0"/>
    <x v="0"/>
  </r>
  <r>
    <s v="PH-PRJ-080-08"/>
    <x v="79"/>
    <x v="7"/>
    <d v="2025-06-23T00:00:00"/>
    <d v="2025-10-30T00:00:00"/>
    <d v="2025-06-23T00:00:00"/>
    <d v="2025-10-30T00:00:00"/>
    <s v="Completed"/>
    <n v="100"/>
    <n v="7719393"/>
    <m/>
    <s v="2025-06-23T07:42:00"/>
    <s v="2025-06-23T07:42:00"/>
    <s v="system@alrashdeng.ae"/>
    <n v="1"/>
    <b v="1"/>
    <m/>
    <n v="0"/>
    <m/>
    <x v="0"/>
    <x v="0"/>
  </r>
  <r>
    <s v="PH-PRJ-080-09"/>
    <x v="79"/>
    <x v="8"/>
    <d v="2025-10-30T00:00:00"/>
    <d v="2025-12-07T00:00:00"/>
    <d v="2025-10-30T00:00:00"/>
    <d v="2025-12-07T00:00:00"/>
    <s v="Completed"/>
    <n v="100"/>
    <n v="2315817"/>
    <m/>
    <s v="2025-10-30T14:27:00"/>
    <s v="2025-10-30T14:27:00"/>
    <s v="system@alrashdeng.ae"/>
    <n v="1"/>
    <b v="1"/>
    <m/>
    <n v="0"/>
    <m/>
    <x v="0"/>
    <x v="0"/>
  </r>
  <r>
    <s v="PH-PRJ-080-10"/>
    <x v="79"/>
    <x v="9"/>
    <d v="2025-12-07T00:00:00"/>
    <d v="2026-01-01T00:00:00"/>
    <d v="2025-12-07T00:00:00"/>
    <d v="2026-01-01T00:00:00"/>
    <s v="Completed"/>
    <n v="100"/>
    <n v="1543878"/>
    <m/>
    <s v="2025-12-07T12:01:00"/>
    <s v="2025-12-07T12:01:00"/>
    <s v="system@alrashdeng.ae"/>
    <n v="1"/>
    <b v="1"/>
    <m/>
    <n v="0"/>
    <m/>
    <x v="0"/>
    <x v="0"/>
  </r>
  <r>
    <s v="PH-PRJ-081-01"/>
    <x v="80"/>
    <x v="0"/>
    <d v="2024-09-23T00:00:00"/>
    <d v="2024-10-26T00:00:00"/>
    <d v="2024-09-23T00:00:00"/>
    <d v="2024-10-26T00:00:00"/>
    <s v="Completed"/>
    <n v="100"/>
    <n v="1861589"/>
    <m/>
    <s v="2024-09-23T09:16:00"/>
    <s v="2024-09-23T09:16:00"/>
    <s v="system@alrashdeng.ae"/>
    <n v="1"/>
    <b v="1"/>
    <m/>
    <n v="0"/>
    <m/>
    <x v="0"/>
    <x v="0"/>
  </r>
  <r>
    <s v="PH-PRJ-081-02"/>
    <x v="80"/>
    <x v="1"/>
    <d v="2024-10-26T00:00:00"/>
    <d v="2024-12-31T00:00:00"/>
    <d v="2024-10-26T00:00:00"/>
    <d v="2024-12-31T00:00:00"/>
    <s v="Completed"/>
    <n v="100"/>
    <n v="3723178"/>
    <m/>
    <s v="2024-10-26T08:10:00"/>
    <s v="2024-10-26T08:10:00"/>
    <s v="system@alrashdeng.ae"/>
    <n v="1"/>
    <b v="1"/>
    <m/>
    <n v="0"/>
    <m/>
    <x v="0"/>
    <x v="0"/>
  </r>
  <r>
    <s v="PH-PRJ-081-03"/>
    <x v="80"/>
    <x v="2"/>
    <d v="2024-12-31T00:00:00"/>
    <d v="2025-03-20T00:00:00"/>
    <d v="2024-12-31T00:00:00"/>
    <d v="2025-03-20T00:00:00"/>
    <s v="Completed"/>
    <n v="100"/>
    <n v="4467814"/>
    <m/>
    <s v="2024-12-31T17:48:00"/>
    <s v="2024-12-31T17:48:00"/>
    <s v="system@alrashdeng.ae"/>
    <n v="1"/>
    <b v="1"/>
    <s v="Critical Phase"/>
    <n v="0"/>
    <m/>
    <x v="0"/>
    <x v="0"/>
  </r>
  <r>
    <s v="PH-PRJ-081-04"/>
    <x v="80"/>
    <x v="3"/>
    <d v="2025-03-20T00:00:00"/>
    <d v="2025-06-27T00:00:00"/>
    <d v="2025-03-20T00:00:00"/>
    <d v="2025-06-27T00:00:00"/>
    <s v="Completed"/>
    <n v="100"/>
    <n v="5584767"/>
    <m/>
    <s v="2025-03-20T07:38:00"/>
    <s v="2025-03-20T07:38:00"/>
    <s v="system@alrashdeng.ae"/>
    <n v="1"/>
    <b v="1"/>
    <m/>
    <n v="0"/>
    <m/>
    <x v="0"/>
    <x v="0"/>
  </r>
  <r>
    <s v="PH-PRJ-081-05"/>
    <x v="80"/>
    <x v="4"/>
    <d v="2025-06-27T00:00:00"/>
    <d v="2025-12-09T00:00:00"/>
    <d v="2025-06-27T00:00:00"/>
    <d v="2025-12-09T00:00:00"/>
    <s v="Completed"/>
    <n v="100"/>
    <n v="9307946"/>
    <m/>
    <s v="2025-06-27T12:30:00"/>
    <s v="2025-06-27T12:30:00"/>
    <s v="system@alrashdeng.ae"/>
    <n v="1"/>
    <b v="1"/>
    <s v="Critical Phase"/>
    <n v="0"/>
    <m/>
    <x v="0"/>
    <x v="0"/>
  </r>
  <r>
    <s v="PH-PRJ-081-06"/>
    <x v="80"/>
    <x v="5"/>
    <d v="2025-12-09T00:00:00"/>
    <d v="2026-02-13T00:00:00"/>
    <d v="2025-12-09T00:00:00"/>
    <d v="2026-02-13T00:00:00"/>
    <s v="Completed"/>
    <n v="100"/>
    <n v="3723178"/>
    <m/>
    <s v="2025-12-09T16:00:00"/>
    <s v="2025-12-09T16:00:00"/>
    <s v="system@alrashdeng.ae"/>
    <n v="1"/>
    <b v="1"/>
    <m/>
    <n v="0"/>
    <m/>
    <x v="0"/>
    <x v="0"/>
  </r>
  <r>
    <s v="PH-PRJ-081-07"/>
    <x v="80"/>
    <x v="6"/>
    <d v="2026-02-13T00:00:00"/>
    <d v="2026-04-06T00:00:00"/>
    <d v="2026-02-13T00:00:00"/>
    <m/>
    <s v="In Progress"/>
    <n v="82"/>
    <n v="2978542"/>
    <m/>
    <s v="2026-02-13T10:30:00"/>
    <s v="2026-02-13T10:30:00"/>
    <s v="system@alrashdeng.ae"/>
    <n v="1"/>
    <b v="1"/>
    <m/>
    <m/>
    <n v="176"/>
    <x v="1"/>
    <x v="45"/>
  </r>
  <r>
    <s v="PH-PRJ-081-08"/>
    <x v="80"/>
    <x v="7"/>
    <d v="2026-04-06T00:00:00"/>
    <d v="2026-06-11T00:00:00"/>
    <m/>
    <m/>
    <s v="Not Started"/>
    <n v="0"/>
    <n v="3723178"/>
    <m/>
    <s v="2026-04-06T08:02:00"/>
    <s v="2026-04-06T08:02:00"/>
    <s v="system@alrashdeng.ae"/>
    <n v="1"/>
    <b v="1"/>
    <m/>
    <m/>
    <n v="110"/>
    <x v="1"/>
    <x v="46"/>
  </r>
  <r>
    <s v="PH-PRJ-081-09"/>
    <x v="80"/>
    <x v="8"/>
    <d v="2026-06-11T00:00:00"/>
    <d v="2026-06-30T00:00:00"/>
    <m/>
    <m/>
    <s v="Not Started"/>
    <n v="0"/>
    <n v="1116953"/>
    <m/>
    <s v="2026-06-11T07:36:00"/>
    <s v="2026-06-11T07:36:00"/>
    <s v="system@alrashdeng.ae"/>
    <n v="1"/>
    <b v="1"/>
    <m/>
    <m/>
    <n v="91"/>
    <x v="1"/>
    <x v="42"/>
  </r>
  <r>
    <s v="PH-PRJ-081-10"/>
    <x v="80"/>
    <x v="9"/>
    <d v="2026-06-30T00:00:00"/>
    <d v="2026-07-13T00:00:00"/>
    <m/>
    <m/>
    <s v="Not Started"/>
    <n v="0"/>
    <n v="744635"/>
    <m/>
    <s v="2026-06-30T17:18:00"/>
    <s v="2026-06-30T17:18:00"/>
    <s v="system@alrashdeng.ae"/>
    <n v="1"/>
    <b v="1"/>
    <m/>
    <m/>
    <n v="78"/>
    <x v="1"/>
    <x v="47"/>
  </r>
  <r>
    <s v="PH-PRJ-082-01"/>
    <x v="81"/>
    <x v="0"/>
    <d v="2024-04-04T00:00:00"/>
    <d v="2024-05-02T00:00:00"/>
    <d v="2024-04-04T00:00:00"/>
    <d v="2024-05-02T00:00:00"/>
    <s v="Completed"/>
    <n v="100"/>
    <n v="9674513"/>
    <m/>
    <s v="2024-04-04T10:33:00"/>
    <s v="2024-04-04T10:33:00"/>
    <s v="system@alrashdeng.ae"/>
    <n v="1"/>
    <b v="1"/>
    <m/>
    <n v="0"/>
    <m/>
    <x v="0"/>
    <x v="0"/>
  </r>
  <r>
    <s v="PH-PRJ-082-02"/>
    <x v="81"/>
    <x v="1"/>
    <d v="2024-05-02T00:00:00"/>
    <d v="2024-06-28T00:00:00"/>
    <d v="2024-05-02T00:00:00"/>
    <d v="2024-06-28T00:00:00"/>
    <s v="Completed"/>
    <n v="100"/>
    <n v="19349026"/>
    <m/>
    <s v="2024-05-02T15:10:00"/>
    <s v="2024-05-02T15:10:00"/>
    <s v="system@alrashdeng.ae"/>
    <n v="1"/>
    <b v="1"/>
    <m/>
    <n v="0"/>
    <m/>
    <x v="0"/>
    <x v="0"/>
  </r>
  <r>
    <s v="PH-PRJ-082-03"/>
    <x v="81"/>
    <x v="2"/>
    <d v="2024-06-28T00:00:00"/>
    <d v="2024-09-04T00:00:00"/>
    <d v="2024-06-28T00:00:00"/>
    <d v="2024-09-04T00:00:00"/>
    <s v="Completed"/>
    <n v="100"/>
    <n v="23218832"/>
    <m/>
    <s v="2024-06-28T09:49:00"/>
    <s v="2024-06-28T09:49:00"/>
    <s v="system@alrashdeng.ae"/>
    <n v="1"/>
    <b v="1"/>
    <s v="Critical Phase"/>
    <n v="0"/>
    <m/>
    <x v="0"/>
    <x v="0"/>
  </r>
  <r>
    <s v="PH-PRJ-082-04"/>
    <x v="81"/>
    <x v="3"/>
    <d v="2024-09-04T00:00:00"/>
    <d v="2024-11-28T00:00:00"/>
    <d v="2024-09-04T00:00:00"/>
    <d v="2024-11-28T00:00:00"/>
    <s v="Completed"/>
    <n v="100"/>
    <n v="29023540"/>
    <m/>
    <s v="2024-09-04T08:06:00"/>
    <s v="2024-09-04T08:06:00"/>
    <s v="system@alrashdeng.ae"/>
    <n v="1"/>
    <b v="1"/>
    <m/>
    <n v="0"/>
    <m/>
    <x v="0"/>
    <x v="0"/>
  </r>
  <r>
    <s v="PH-PRJ-082-05"/>
    <x v="81"/>
    <x v="4"/>
    <d v="2024-11-28T00:00:00"/>
    <d v="2025-04-19T00:00:00"/>
    <d v="2024-11-28T00:00:00"/>
    <d v="2025-04-19T00:00:00"/>
    <s v="Completed"/>
    <n v="100"/>
    <n v="48372567"/>
    <m/>
    <s v="2024-11-28T11:51:00"/>
    <s v="2024-11-28T11:51:00"/>
    <s v="system@alrashdeng.ae"/>
    <n v="1"/>
    <b v="1"/>
    <s v="Critical Phase"/>
    <n v="0"/>
    <m/>
    <x v="0"/>
    <x v="0"/>
  </r>
  <r>
    <s v="PH-PRJ-082-06"/>
    <x v="81"/>
    <x v="5"/>
    <d v="2025-04-19T00:00:00"/>
    <d v="2025-06-15T00:00:00"/>
    <d v="2025-04-19T00:00:00"/>
    <d v="2025-06-15T00:00:00"/>
    <s v="Completed"/>
    <n v="100"/>
    <n v="19349026"/>
    <m/>
    <s v="2025-04-19T12:28:00"/>
    <s v="2025-04-19T12:28:00"/>
    <s v="system@alrashdeng.ae"/>
    <n v="1"/>
    <b v="1"/>
    <m/>
    <n v="0"/>
    <m/>
    <x v="0"/>
    <x v="0"/>
  </r>
  <r>
    <s v="PH-PRJ-082-07"/>
    <x v="81"/>
    <x v="6"/>
    <d v="2025-06-15T00:00:00"/>
    <d v="2025-07-30T00:00:00"/>
    <d v="2025-06-15T00:00:00"/>
    <d v="2025-07-30T00:00:00"/>
    <s v="Completed"/>
    <n v="100"/>
    <n v="15479221"/>
    <m/>
    <s v="2025-06-15T14:47:00"/>
    <s v="2025-06-15T14:47:00"/>
    <s v="system@alrashdeng.ae"/>
    <n v="1"/>
    <b v="1"/>
    <m/>
    <n v="0"/>
    <m/>
    <x v="0"/>
    <x v="0"/>
  </r>
  <r>
    <s v="PH-PRJ-082-08"/>
    <x v="81"/>
    <x v="7"/>
    <d v="2025-07-30T00:00:00"/>
    <d v="2025-09-25T00:00:00"/>
    <d v="2025-07-30T00:00:00"/>
    <d v="2025-09-25T00:00:00"/>
    <s v="Completed"/>
    <n v="100"/>
    <n v="19349026"/>
    <m/>
    <s v="2025-07-30T12:34:00"/>
    <s v="2025-07-30T12:34:00"/>
    <s v="system@alrashdeng.ae"/>
    <n v="1"/>
    <b v="1"/>
    <m/>
    <n v="0"/>
    <m/>
    <x v="0"/>
    <x v="0"/>
  </r>
  <r>
    <s v="PH-PRJ-082-09"/>
    <x v="81"/>
    <x v="8"/>
    <d v="2025-09-25T00:00:00"/>
    <d v="2025-10-12T00:00:00"/>
    <d v="2025-09-25T00:00:00"/>
    <d v="2025-10-12T00:00:00"/>
    <s v="Completed"/>
    <n v="100"/>
    <n v="5804708"/>
    <m/>
    <s v="2025-09-25T11:42:00"/>
    <s v="2025-09-25T11:42:00"/>
    <s v="system@alrashdeng.ae"/>
    <n v="1"/>
    <b v="1"/>
    <m/>
    <n v="0"/>
    <m/>
    <x v="0"/>
    <x v="0"/>
  </r>
  <r>
    <s v="PH-PRJ-082-10"/>
    <x v="81"/>
    <x v="9"/>
    <d v="2025-10-12T00:00:00"/>
    <d v="2025-10-23T00:00:00"/>
    <d v="2025-10-12T00:00:00"/>
    <d v="2025-10-23T00:00:00"/>
    <s v="Completed"/>
    <n v="100"/>
    <n v="3869805"/>
    <m/>
    <s v="2025-10-12T14:16:00"/>
    <s v="2025-10-12T14:16:00"/>
    <s v="system@alrashdeng.ae"/>
    <n v="1"/>
    <b v="1"/>
    <m/>
    <n v="0"/>
    <m/>
    <x v="0"/>
    <x v="0"/>
  </r>
  <r>
    <s v="PH-PRJ-083-01"/>
    <x v="82"/>
    <x v="0"/>
    <d v="2023-05-17T00:00:00"/>
    <d v="2023-07-20T00:00:00"/>
    <d v="2023-05-17T00:00:00"/>
    <d v="2023-07-20T00:00:00"/>
    <s v="Completed"/>
    <n v="100"/>
    <n v="21046885"/>
    <m/>
    <s v="2023-05-17T12:29:00"/>
    <s v="2023-05-17T12:29:00"/>
    <s v="system@alrashdeng.ae"/>
    <n v="1"/>
    <b v="1"/>
    <m/>
    <n v="0"/>
    <m/>
    <x v="0"/>
    <x v="0"/>
  </r>
  <r>
    <s v="PH-PRJ-083-02"/>
    <x v="82"/>
    <x v="1"/>
    <d v="2023-07-20T00:00:00"/>
    <d v="2023-11-26T00:00:00"/>
    <d v="2023-07-20T00:00:00"/>
    <d v="2023-11-26T00:00:00"/>
    <s v="Completed"/>
    <n v="100"/>
    <n v="42093771"/>
    <m/>
    <s v="2023-07-20T07:52:00"/>
    <s v="2023-07-20T07:52:00"/>
    <s v="system@alrashdeng.ae"/>
    <n v="1"/>
    <b v="1"/>
    <m/>
    <n v="0"/>
    <m/>
    <x v="0"/>
    <x v="0"/>
  </r>
  <r>
    <s v="PH-PRJ-083-03"/>
    <x v="82"/>
    <x v="2"/>
    <d v="2023-11-26T00:00:00"/>
    <d v="2024-04-28T00:00:00"/>
    <d v="2023-11-26T00:00:00"/>
    <d v="2024-04-28T00:00:00"/>
    <s v="Completed"/>
    <n v="100"/>
    <n v="50512525"/>
    <m/>
    <s v="2023-11-26T12:19:00"/>
    <s v="2023-11-26T12:19:00"/>
    <s v="system@alrashdeng.ae"/>
    <n v="1"/>
    <b v="1"/>
    <s v="Critical Phase"/>
    <n v="0"/>
    <m/>
    <x v="0"/>
    <x v="0"/>
  </r>
  <r>
    <s v="PH-PRJ-083-04"/>
    <x v="82"/>
    <x v="3"/>
    <d v="2024-04-28T00:00:00"/>
    <d v="2024-11-07T00:00:00"/>
    <d v="2024-04-28T00:00:00"/>
    <d v="2024-11-07T00:00:00"/>
    <s v="Completed"/>
    <n v="100"/>
    <n v="63140657"/>
    <m/>
    <s v="2024-04-28T12:57:00"/>
    <s v="2024-04-28T12:57:00"/>
    <s v="system@alrashdeng.ae"/>
    <n v="1"/>
    <b v="1"/>
    <m/>
    <n v="0"/>
    <m/>
    <x v="0"/>
    <x v="0"/>
  </r>
  <r>
    <s v="PH-PRJ-083-05"/>
    <x v="82"/>
    <x v="4"/>
    <d v="2024-11-07T00:00:00"/>
    <d v="2025-09-25T00:00:00"/>
    <d v="2024-11-07T00:00:00"/>
    <d v="2025-09-25T00:00:00"/>
    <s v="Completed"/>
    <n v="100"/>
    <n v="105234428"/>
    <m/>
    <s v="2024-11-07T15:49:00"/>
    <s v="2024-11-07T15:49:00"/>
    <s v="system@alrashdeng.ae"/>
    <n v="1"/>
    <b v="1"/>
    <s v="Critical Phase"/>
    <n v="0"/>
    <m/>
    <x v="0"/>
    <x v="0"/>
  </r>
  <r>
    <s v="PH-PRJ-083-06"/>
    <x v="82"/>
    <x v="5"/>
    <d v="2025-09-25T00:00:00"/>
    <d v="2026-02-01T00:00:00"/>
    <d v="2025-09-25T00:00:00"/>
    <d v="2026-02-01T00:00:00"/>
    <s v="Completed"/>
    <n v="100"/>
    <n v="42093771"/>
    <m/>
    <s v="2025-09-25T17:54:00"/>
    <s v="2025-09-25T17:54:00"/>
    <s v="system@alrashdeng.ae"/>
    <n v="1"/>
    <b v="1"/>
    <m/>
    <n v="0"/>
    <m/>
    <x v="0"/>
    <x v="0"/>
  </r>
  <r>
    <s v="PH-PRJ-083-07"/>
    <x v="82"/>
    <x v="6"/>
    <d v="2026-02-01T00:00:00"/>
    <d v="2026-05-15T00:00:00"/>
    <d v="2026-02-01T00:00:00"/>
    <m/>
    <s v="In Progress"/>
    <n v="81"/>
    <n v="33675017"/>
    <m/>
    <s v="2026-02-01T08:17:00"/>
    <s v="2026-02-01T08:17:00"/>
    <s v="system@alrashdeng.ae"/>
    <n v="1"/>
    <b v="1"/>
    <m/>
    <m/>
    <n v="137"/>
    <x v="1"/>
    <x v="3"/>
  </r>
  <r>
    <s v="PH-PRJ-083-08"/>
    <x v="82"/>
    <x v="7"/>
    <d v="2026-05-15T00:00:00"/>
    <d v="2026-09-21T00:00:00"/>
    <m/>
    <m/>
    <s v="Not Started"/>
    <n v="0"/>
    <n v="42093771"/>
    <m/>
    <s v="2026-05-15T17:33:00"/>
    <s v="2026-05-15T17:33:00"/>
    <s v="system@alrashdeng.ae"/>
    <n v="1"/>
    <b v="1"/>
    <m/>
    <m/>
    <n v="8"/>
    <x v="1"/>
    <x v="48"/>
  </r>
  <r>
    <s v="PH-PRJ-083-09"/>
    <x v="82"/>
    <x v="8"/>
    <d v="2026-09-21T00:00:00"/>
    <d v="2026-10-29T00:00:00"/>
    <m/>
    <m/>
    <s v="Not Started"/>
    <n v="0"/>
    <n v="12628131"/>
    <m/>
    <s v="2026-09-21T17:01:00"/>
    <s v="2026-09-21T17:01:00"/>
    <s v="system@alrashdeng.ae"/>
    <n v="1"/>
    <b v="1"/>
    <m/>
    <m/>
    <n v="-30"/>
    <x v="0"/>
    <x v="0"/>
  </r>
  <r>
    <s v="PH-PRJ-083-10"/>
    <x v="82"/>
    <x v="9"/>
    <d v="2026-10-29T00:00:00"/>
    <d v="2026-11-23T00:00:00"/>
    <m/>
    <m/>
    <s v="Not Started"/>
    <n v="0"/>
    <n v="8418754"/>
    <m/>
    <s v="2026-10-29T09:26:00"/>
    <s v="2026-10-29T09:26:00"/>
    <s v="system@alrashdeng.ae"/>
    <n v="1"/>
    <b v="1"/>
    <m/>
    <m/>
    <n v="-55"/>
    <x v="0"/>
    <x v="0"/>
  </r>
  <r>
    <s v="PH-PRJ-084-01"/>
    <x v="83"/>
    <x v="0"/>
    <d v="2022-10-30T00:00:00"/>
    <d v="2022-11-23T00:00:00"/>
    <d v="2022-10-30T00:00:00"/>
    <d v="2022-11-23T00:00:00"/>
    <s v="Completed"/>
    <n v="100"/>
    <n v="2373644"/>
    <m/>
    <s v="2022-10-30T10:42:00"/>
    <s v="2022-10-30T10:42:00"/>
    <s v="system@alrashdeng.ae"/>
    <n v="1"/>
    <b v="1"/>
    <m/>
    <n v="0"/>
    <m/>
    <x v="0"/>
    <x v="0"/>
  </r>
  <r>
    <s v="PH-PRJ-084-02"/>
    <x v="83"/>
    <x v="1"/>
    <d v="2022-11-23T00:00:00"/>
    <d v="2023-01-10T00:00:00"/>
    <d v="2022-11-23T00:00:00"/>
    <d v="2023-01-10T00:00:00"/>
    <s v="Completed"/>
    <n v="100"/>
    <n v="4747289"/>
    <m/>
    <s v="2022-11-23T09:22:00"/>
    <s v="2022-11-23T09:22:00"/>
    <s v="system@alrashdeng.ae"/>
    <n v="1"/>
    <b v="1"/>
    <m/>
    <n v="0"/>
    <m/>
    <x v="0"/>
    <x v="0"/>
  </r>
  <r>
    <s v="PH-PRJ-084-03"/>
    <x v="83"/>
    <x v="2"/>
    <d v="2023-01-10T00:00:00"/>
    <d v="2023-03-08T00:00:00"/>
    <d v="2023-01-10T00:00:00"/>
    <d v="2023-03-08T00:00:00"/>
    <s v="Completed"/>
    <n v="100"/>
    <n v="5696747"/>
    <m/>
    <s v="2023-01-10T14:01:00"/>
    <s v="2023-01-10T14:01:00"/>
    <s v="system@alrashdeng.ae"/>
    <n v="1"/>
    <b v="1"/>
    <s v="Critical Phase"/>
    <n v="0"/>
    <m/>
    <x v="0"/>
    <x v="0"/>
  </r>
  <r>
    <s v="PH-PRJ-084-04"/>
    <x v="83"/>
    <x v="3"/>
    <d v="2023-03-08T00:00:00"/>
    <d v="2023-05-19T00:00:00"/>
    <d v="2023-03-08T00:00:00"/>
    <d v="2023-05-19T00:00:00"/>
    <s v="Completed"/>
    <n v="100"/>
    <n v="7120933"/>
    <m/>
    <s v="2023-03-08T10:36:00"/>
    <s v="2023-03-08T10:36:00"/>
    <s v="system@alrashdeng.ae"/>
    <n v="1"/>
    <b v="1"/>
    <m/>
    <n v="0"/>
    <m/>
    <x v="0"/>
    <x v="0"/>
  </r>
  <r>
    <s v="PH-PRJ-084-05"/>
    <x v="83"/>
    <x v="4"/>
    <d v="2023-05-19T00:00:00"/>
    <d v="2023-09-16T00:00:00"/>
    <d v="2023-05-19T00:00:00"/>
    <d v="2023-09-16T00:00:00"/>
    <s v="Completed"/>
    <n v="100"/>
    <n v="11868223"/>
    <m/>
    <s v="2023-05-19T13:23:00"/>
    <s v="2023-05-19T13:23:00"/>
    <s v="system@alrashdeng.ae"/>
    <n v="1"/>
    <b v="1"/>
    <s v="Critical Phase"/>
    <n v="0"/>
    <m/>
    <x v="0"/>
    <x v="0"/>
  </r>
  <r>
    <s v="PH-PRJ-084-06"/>
    <x v="83"/>
    <x v="5"/>
    <d v="2023-09-16T00:00:00"/>
    <d v="2023-11-03T00:00:00"/>
    <d v="2023-09-16T00:00:00"/>
    <d v="2023-11-03T00:00:00"/>
    <s v="Completed"/>
    <n v="100"/>
    <n v="4747289"/>
    <m/>
    <s v="2023-09-16T10:47:00"/>
    <s v="2023-09-16T10:47:00"/>
    <s v="system@alrashdeng.ae"/>
    <n v="1"/>
    <b v="1"/>
    <m/>
    <n v="0"/>
    <m/>
    <x v="0"/>
    <x v="0"/>
  </r>
  <r>
    <s v="PH-PRJ-084-07"/>
    <x v="83"/>
    <x v="6"/>
    <d v="2023-11-03T00:00:00"/>
    <d v="2023-12-11T00:00:00"/>
    <d v="2023-11-03T00:00:00"/>
    <d v="2023-12-11T00:00:00"/>
    <s v="Completed"/>
    <n v="100"/>
    <n v="3797831"/>
    <m/>
    <s v="2023-11-03T08:12:00"/>
    <s v="2023-11-03T08:12:00"/>
    <s v="system@alrashdeng.ae"/>
    <n v="1"/>
    <b v="1"/>
    <m/>
    <n v="0"/>
    <m/>
    <x v="0"/>
    <x v="0"/>
  </r>
  <r>
    <s v="PH-PRJ-084-08"/>
    <x v="83"/>
    <x v="7"/>
    <d v="2023-12-11T00:00:00"/>
    <d v="2024-01-28T00:00:00"/>
    <d v="2023-12-11T00:00:00"/>
    <d v="2024-01-28T00:00:00"/>
    <s v="Completed"/>
    <n v="100"/>
    <n v="4747289"/>
    <m/>
    <s v="2023-12-11T13:40:00"/>
    <s v="2023-12-11T13:40:00"/>
    <s v="system@alrashdeng.ae"/>
    <n v="1"/>
    <b v="1"/>
    <m/>
    <n v="0"/>
    <m/>
    <x v="0"/>
    <x v="0"/>
  </r>
  <r>
    <s v="PH-PRJ-084-09"/>
    <x v="83"/>
    <x v="8"/>
    <d v="2024-01-28T00:00:00"/>
    <d v="2024-02-11T00:00:00"/>
    <d v="2024-01-28T00:00:00"/>
    <d v="2024-02-11T00:00:00"/>
    <s v="Completed"/>
    <n v="100"/>
    <n v="1424186"/>
    <m/>
    <s v="2024-01-28T08:17:00"/>
    <s v="2024-01-28T08:17:00"/>
    <s v="system@alrashdeng.ae"/>
    <n v="1"/>
    <b v="1"/>
    <m/>
    <n v="0"/>
    <m/>
    <x v="0"/>
    <x v="0"/>
  </r>
  <r>
    <s v="PH-PRJ-084-10"/>
    <x v="83"/>
    <x v="9"/>
    <d v="2024-02-11T00:00:00"/>
    <d v="2024-02-20T00:00:00"/>
    <d v="2024-02-11T00:00:00"/>
    <d v="2024-02-20T00:00:00"/>
    <s v="Completed"/>
    <n v="100"/>
    <n v="949457"/>
    <m/>
    <s v="2024-02-11T17:43:00"/>
    <s v="2024-02-11T17:43:00"/>
    <s v="system@alrashdeng.ae"/>
    <n v="1"/>
    <b v="1"/>
    <m/>
    <n v="0"/>
    <m/>
    <x v="0"/>
    <x v="0"/>
  </r>
  <r>
    <s v="PH-PRJ-085-01"/>
    <x v="84"/>
    <x v="0"/>
    <d v="2022-04-09T00:00:00"/>
    <d v="2022-06-15T00:00:00"/>
    <d v="2022-04-09T00:00:00"/>
    <d v="2022-06-15T00:00:00"/>
    <s v="Completed"/>
    <n v="100"/>
    <n v="12337344"/>
    <m/>
    <s v="2022-04-09T15:57:00"/>
    <s v="2022-04-09T15:57:00"/>
    <s v="system@alrashdeng.ae"/>
    <n v="1"/>
    <b v="1"/>
    <m/>
    <n v="0"/>
    <m/>
    <x v="0"/>
    <x v="0"/>
  </r>
  <r>
    <s v="PH-PRJ-085-02"/>
    <x v="84"/>
    <x v="1"/>
    <d v="2022-06-15T00:00:00"/>
    <d v="2022-10-28T00:00:00"/>
    <d v="2022-06-15T00:00:00"/>
    <d v="2022-10-28T00:00:00"/>
    <s v="Completed"/>
    <n v="100"/>
    <n v="24674688"/>
    <m/>
    <s v="2022-06-15T14:56:00"/>
    <s v="2022-06-15T14:56:00"/>
    <s v="system@alrashdeng.ae"/>
    <n v="1"/>
    <b v="1"/>
    <m/>
    <n v="0"/>
    <m/>
    <x v="0"/>
    <x v="0"/>
  </r>
  <r>
    <s v="PH-PRJ-085-03"/>
    <x v="84"/>
    <x v="2"/>
    <d v="2022-10-28T00:00:00"/>
    <d v="2023-04-08T00:00:00"/>
    <d v="2022-10-28T00:00:00"/>
    <d v="2023-04-08T00:00:00"/>
    <s v="Completed"/>
    <n v="100"/>
    <n v="29609625"/>
    <m/>
    <s v="2022-10-28T15:11:00"/>
    <s v="2022-10-28T15:11:00"/>
    <s v="system@alrashdeng.ae"/>
    <n v="1"/>
    <b v="1"/>
    <s v="Critical Phase"/>
    <n v="0"/>
    <m/>
    <x v="0"/>
    <x v="0"/>
  </r>
  <r>
    <s v="PH-PRJ-085-04"/>
    <x v="84"/>
    <x v="3"/>
    <d v="2023-04-08T00:00:00"/>
    <d v="2023-10-27T00:00:00"/>
    <d v="2023-04-08T00:00:00"/>
    <d v="2023-10-27T00:00:00"/>
    <s v="Completed"/>
    <n v="100"/>
    <n v="37012032"/>
    <m/>
    <s v="2023-04-08T11:58:00"/>
    <s v="2023-04-08T11:58:00"/>
    <s v="system@alrashdeng.ae"/>
    <n v="1"/>
    <b v="1"/>
    <m/>
    <n v="0"/>
    <m/>
    <x v="0"/>
    <x v="0"/>
  </r>
  <r>
    <s v="PH-PRJ-085-05"/>
    <x v="84"/>
    <x v="4"/>
    <d v="2023-10-27T00:00:00"/>
    <d v="2024-09-28T00:00:00"/>
    <d v="2023-10-27T00:00:00"/>
    <d v="2024-09-28T00:00:00"/>
    <s v="Completed"/>
    <n v="100"/>
    <n v="61686720"/>
    <m/>
    <s v="2023-10-27T17:22:00"/>
    <s v="2023-10-27T17:22:00"/>
    <s v="system@alrashdeng.ae"/>
    <n v="1"/>
    <b v="1"/>
    <s v="Critical Phase"/>
    <n v="0"/>
    <m/>
    <x v="0"/>
    <x v="0"/>
  </r>
  <r>
    <s v="PH-PRJ-085-06"/>
    <x v="84"/>
    <x v="5"/>
    <d v="2024-09-28T00:00:00"/>
    <d v="2025-02-10T00:00:00"/>
    <d v="2024-09-28T00:00:00"/>
    <d v="2025-02-10T00:00:00"/>
    <s v="Completed"/>
    <n v="100"/>
    <n v="24674688"/>
    <m/>
    <s v="2024-09-28T12:25:00"/>
    <s v="2024-09-28T12:25:00"/>
    <s v="system@alrashdeng.ae"/>
    <n v="1"/>
    <b v="1"/>
    <m/>
    <n v="0"/>
    <m/>
    <x v="0"/>
    <x v="0"/>
  </r>
  <r>
    <s v="PH-PRJ-085-07"/>
    <x v="84"/>
    <x v="6"/>
    <d v="2025-02-10T00:00:00"/>
    <d v="2025-05-29T00:00:00"/>
    <d v="2025-02-10T00:00:00"/>
    <d v="2025-05-29T00:00:00"/>
    <s v="Completed"/>
    <n v="100"/>
    <n v="19739750"/>
    <m/>
    <s v="2025-02-10T16:26:00"/>
    <s v="2025-02-10T16:26:00"/>
    <s v="system@alrashdeng.ae"/>
    <n v="1"/>
    <b v="1"/>
    <m/>
    <n v="0"/>
    <m/>
    <x v="0"/>
    <x v="0"/>
  </r>
  <r>
    <s v="PH-PRJ-085-08"/>
    <x v="84"/>
    <x v="7"/>
    <d v="2025-05-29T00:00:00"/>
    <d v="2025-10-11T00:00:00"/>
    <d v="2025-05-29T00:00:00"/>
    <d v="2025-10-11T00:00:00"/>
    <s v="Completed"/>
    <n v="100"/>
    <n v="24674688"/>
    <m/>
    <s v="2025-05-29T11:19:00"/>
    <s v="2025-05-29T11:19:00"/>
    <s v="system@alrashdeng.ae"/>
    <n v="1"/>
    <b v="1"/>
    <m/>
    <n v="0"/>
    <m/>
    <x v="0"/>
    <x v="0"/>
  </r>
  <r>
    <s v="PH-PRJ-085-09"/>
    <x v="84"/>
    <x v="8"/>
    <d v="2025-10-11T00:00:00"/>
    <d v="2025-11-20T00:00:00"/>
    <d v="2025-10-11T00:00:00"/>
    <d v="2025-11-20T00:00:00"/>
    <s v="Completed"/>
    <n v="100"/>
    <n v="7402406"/>
    <m/>
    <s v="2025-10-11T10:02:00"/>
    <s v="2025-10-11T10:02:00"/>
    <s v="system@alrashdeng.ae"/>
    <n v="1"/>
    <b v="1"/>
    <m/>
    <n v="0"/>
    <m/>
    <x v="0"/>
    <x v="0"/>
  </r>
  <r>
    <s v="PH-PRJ-085-10"/>
    <x v="84"/>
    <x v="9"/>
    <d v="2025-11-20T00:00:00"/>
    <d v="2025-12-17T00:00:00"/>
    <d v="2025-11-20T00:00:00"/>
    <d v="2025-12-17T00:00:00"/>
    <s v="Completed"/>
    <n v="100"/>
    <n v="4934937"/>
    <m/>
    <s v="2025-11-20T16:33:00"/>
    <s v="2025-11-20T16:33:00"/>
    <s v="system@alrashdeng.ae"/>
    <n v="1"/>
    <b v="1"/>
    <m/>
    <n v="0"/>
    <m/>
    <x v="0"/>
    <x v="0"/>
  </r>
  <r>
    <s v="PH-PRJ-086-01"/>
    <x v="85"/>
    <x v="0"/>
    <d v="2022-03-30T00:00:00"/>
    <d v="2022-04-26T00:00:00"/>
    <d v="2022-03-30T00:00:00"/>
    <d v="2022-04-26T00:00:00"/>
    <s v="Completed"/>
    <n v="100"/>
    <n v="1962414"/>
    <m/>
    <s v="2022-03-30T12:53:00"/>
    <s v="2022-03-30T12:53:00"/>
    <s v="system@alrashdeng.ae"/>
    <n v="1"/>
    <b v="1"/>
    <m/>
    <n v="0"/>
    <m/>
    <x v="0"/>
    <x v="0"/>
  </r>
  <r>
    <s v="PH-PRJ-086-02"/>
    <x v="85"/>
    <x v="1"/>
    <d v="2022-04-26T00:00:00"/>
    <d v="2022-06-19T00:00:00"/>
    <d v="2022-04-26T00:00:00"/>
    <d v="2022-06-19T00:00:00"/>
    <s v="Completed"/>
    <n v="100"/>
    <n v="3924828"/>
    <m/>
    <s v="2022-04-26T16:07:00"/>
    <s v="2022-04-26T16:07:00"/>
    <s v="system@alrashdeng.ae"/>
    <n v="1"/>
    <b v="1"/>
    <m/>
    <n v="0"/>
    <m/>
    <x v="0"/>
    <x v="0"/>
  </r>
  <r>
    <s v="PH-PRJ-086-03"/>
    <x v="85"/>
    <x v="2"/>
    <d v="2022-06-19T00:00:00"/>
    <d v="2022-08-22T00:00:00"/>
    <d v="2022-06-19T00:00:00"/>
    <d v="2022-08-22T00:00:00"/>
    <s v="Completed"/>
    <n v="100"/>
    <n v="4709793"/>
    <m/>
    <s v="2022-06-19T13:50:00"/>
    <s v="2022-06-19T13:50:00"/>
    <s v="system@alrashdeng.ae"/>
    <n v="1"/>
    <b v="1"/>
    <s v="Critical Phase"/>
    <n v="0"/>
    <m/>
    <x v="0"/>
    <x v="0"/>
  </r>
  <r>
    <s v="PH-PRJ-086-04"/>
    <x v="85"/>
    <x v="3"/>
    <d v="2022-08-22T00:00:00"/>
    <d v="2022-11-11T00:00:00"/>
    <d v="2022-08-22T00:00:00"/>
    <d v="2022-11-11T00:00:00"/>
    <s v="Completed"/>
    <n v="100"/>
    <n v="5887242"/>
    <m/>
    <s v="2022-08-22T14:36:00"/>
    <s v="2022-08-22T14:36:00"/>
    <s v="system@alrashdeng.ae"/>
    <n v="1"/>
    <b v="1"/>
    <m/>
    <n v="0"/>
    <m/>
    <x v="0"/>
    <x v="0"/>
  </r>
  <r>
    <s v="PH-PRJ-086-05"/>
    <x v="85"/>
    <x v="4"/>
    <d v="2022-11-11T00:00:00"/>
    <d v="2023-03-26T00:00:00"/>
    <d v="2022-11-11T00:00:00"/>
    <d v="2023-03-26T00:00:00"/>
    <s v="Completed"/>
    <n v="100"/>
    <n v="9812070"/>
    <m/>
    <s v="2022-11-11T12:18:00"/>
    <s v="2022-11-11T12:18:00"/>
    <s v="system@alrashdeng.ae"/>
    <n v="1"/>
    <b v="1"/>
    <s v="Critical Phase"/>
    <n v="0"/>
    <m/>
    <x v="0"/>
    <x v="0"/>
  </r>
  <r>
    <s v="PH-PRJ-086-06"/>
    <x v="85"/>
    <x v="5"/>
    <d v="2023-03-26T00:00:00"/>
    <d v="2023-05-19T00:00:00"/>
    <d v="2023-03-26T00:00:00"/>
    <d v="2023-05-19T00:00:00"/>
    <s v="Completed"/>
    <n v="100"/>
    <n v="3924828"/>
    <m/>
    <s v="2023-03-26T08:00:00"/>
    <s v="2023-03-26T08:00:00"/>
    <s v="system@alrashdeng.ae"/>
    <n v="1"/>
    <b v="1"/>
    <m/>
    <n v="0"/>
    <m/>
    <x v="0"/>
    <x v="0"/>
  </r>
  <r>
    <s v="PH-PRJ-086-07"/>
    <x v="85"/>
    <x v="6"/>
    <d v="2023-05-19T00:00:00"/>
    <d v="2023-07-01T00:00:00"/>
    <d v="2023-05-19T00:00:00"/>
    <d v="2023-07-01T00:00:00"/>
    <s v="Completed"/>
    <n v="100"/>
    <n v="3139862"/>
    <m/>
    <s v="2023-05-19T14:59:00"/>
    <s v="2023-05-19T14:59:00"/>
    <s v="system@alrashdeng.ae"/>
    <n v="1"/>
    <b v="1"/>
    <m/>
    <n v="0"/>
    <m/>
    <x v="0"/>
    <x v="0"/>
  </r>
  <r>
    <s v="PH-PRJ-086-08"/>
    <x v="85"/>
    <x v="7"/>
    <d v="2023-07-01T00:00:00"/>
    <d v="2023-08-24T00:00:00"/>
    <d v="2023-07-01T00:00:00"/>
    <d v="2023-08-24T00:00:00"/>
    <s v="Completed"/>
    <n v="100"/>
    <n v="3924828"/>
    <m/>
    <s v="2023-07-01T17:09:00"/>
    <s v="2023-07-01T17:09:00"/>
    <s v="system@alrashdeng.ae"/>
    <n v="1"/>
    <b v="1"/>
    <m/>
    <n v="0"/>
    <m/>
    <x v="0"/>
    <x v="0"/>
  </r>
  <r>
    <s v="PH-PRJ-086-09"/>
    <x v="85"/>
    <x v="8"/>
    <d v="2023-08-24T00:00:00"/>
    <d v="2023-09-09T00:00:00"/>
    <d v="2023-08-24T00:00:00"/>
    <d v="2023-09-09T00:00:00"/>
    <s v="Completed"/>
    <n v="100"/>
    <n v="1177448"/>
    <m/>
    <s v="2023-08-24T14:43:00"/>
    <s v="2023-08-24T14:43:00"/>
    <s v="system@alrashdeng.ae"/>
    <n v="1"/>
    <b v="1"/>
    <m/>
    <n v="0"/>
    <m/>
    <x v="0"/>
    <x v="0"/>
  </r>
  <r>
    <s v="PH-PRJ-086-10"/>
    <x v="85"/>
    <x v="9"/>
    <d v="2023-09-09T00:00:00"/>
    <d v="2023-09-19T00:00:00"/>
    <d v="2023-09-09T00:00:00"/>
    <d v="2023-09-19T00:00:00"/>
    <s v="Completed"/>
    <n v="100"/>
    <n v="784965"/>
    <m/>
    <s v="2023-09-09T09:33:00"/>
    <s v="2023-09-09T09:33:00"/>
    <s v="system@alrashdeng.ae"/>
    <n v="1"/>
    <b v="1"/>
    <m/>
    <n v="0"/>
    <m/>
    <x v="0"/>
    <x v="0"/>
  </r>
  <r>
    <s v="PH-PRJ-087-01"/>
    <x v="86"/>
    <x v="0"/>
    <d v="2020-10-20T00:00:00"/>
    <d v="2020-12-13T00:00:00"/>
    <d v="2020-10-20T00:00:00"/>
    <d v="2020-12-13T00:00:00"/>
    <s v="Completed"/>
    <n v="100"/>
    <n v="8554605"/>
    <m/>
    <s v="2020-10-20T11:39:00"/>
    <s v="2020-10-20T11:39:00"/>
    <s v="system@alrashdeng.ae"/>
    <n v="1"/>
    <b v="1"/>
    <m/>
    <n v="0"/>
    <m/>
    <x v="0"/>
    <x v="0"/>
  </r>
  <r>
    <s v="PH-PRJ-087-02"/>
    <x v="86"/>
    <x v="1"/>
    <d v="2020-12-13T00:00:00"/>
    <d v="2021-03-31T00:00:00"/>
    <d v="2020-12-13T00:00:00"/>
    <d v="2021-03-31T00:00:00"/>
    <s v="Completed"/>
    <n v="100"/>
    <n v="17109210"/>
    <m/>
    <s v="2020-12-13T15:42:00"/>
    <s v="2020-12-13T15:42:00"/>
    <s v="system@alrashdeng.ae"/>
    <n v="1"/>
    <b v="1"/>
    <m/>
    <n v="0"/>
    <m/>
    <x v="0"/>
    <x v="0"/>
  </r>
  <r>
    <s v="PH-PRJ-087-03"/>
    <x v="86"/>
    <x v="2"/>
    <d v="2021-03-31T00:00:00"/>
    <d v="2021-08-07T00:00:00"/>
    <d v="2021-03-31T00:00:00"/>
    <d v="2021-08-07T00:00:00"/>
    <s v="Completed"/>
    <n v="100"/>
    <n v="20531052"/>
    <m/>
    <s v="2021-03-31T09:19:00"/>
    <s v="2021-03-31T09:19:00"/>
    <s v="system@alrashdeng.ae"/>
    <n v="1"/>
    <b v="1"/>
    <s v="Critical Phase"/>
    <n v="0"/>
    <m/>
    <x v="0"/>
    <x v="0"/>
  </r>
  <r>
    <s v="PH-PRJ-087-04"/>
    <x v="86"/>
    <x v="3"/>
    <d v="2021-08-07T00:00:00"/>
    <d v="2022-01-16T00:00:00"/>
    <d v="2021-08-07T00:00:00"/>
    <d v="2022-01-16T00:00:00"/>
    <s v="Completed"/>
    <n v="100"/>
    <n v="25663815"/>
    <m/>
    <s v="2021-08-07T14:18:00"/>
    <s v="2021-08-07T14:18:00"/>
    <s v="system@alrashdeng.ae"/>
    <n v="1"/>
    <b v="1"/>
    <m/>
    <n v="0"/>
    <m/>
    <x v="0"/>
    <x v="0"/>
  </r>
  <r>
    <s v="PH-PRJ-087-05"/>
    <x v="86"/>
    <x v="4"/>
    <d v="2022-01-16T00:00:00"/>
    <d v="2022-10-13T00:00:00"/>
    <d v="2022-01-16T00:00:00"/>
    <d v="2022-10-13T00:00:00"/>
    <s v="Completed"/>
    <n v="100"/>
    <n v="42773026"/>
    <m/>
    <s v="2022-01-16T08:51:00"/>
    <s v="2022-01-16T08:51:00"/>
    <s v="system@alrashdeng.ae"/>
    <n v="1"/>
    <b v="1"/>
    <s v="Critical Phase"/>
    <n v="0"/>
    <m/>
    <x v="0"/>
    <x v="0"/>
  </r>
  <r>
    <s v="PH-PRJ-087-06"/>
    <x v="86"/>
    <x v="5"/>
    <d v="2022-10-13T00:00:00"/>
    <d v="2023-01-29T00:00:00"/>
    <d v="2022-10-13T00:00:00"/>
    <d v="2023-01-29T00:00:00"/>
    <s v="Completed"/>
    <n v="100"/>
    <n v="17109210"/>
    <m/>
    <s v="2022-10-13T11:00:00"/>
    <s v="2022-10-13T11:00:00"/>
    <s v="system@alrashdeng.ae"/>
    <n v="1"/>
    <b v="1"/>
    <m/>
    <n v="0"/>
    <m/>
    <x v="0"/>
    <x v="0"/>
  </r>
  <r>
    <s v="PH-PRJ-087-07"/>
    <x v="86"/>
    <x v="6"/>
    <d v="2023-01-29T00:00:00"/>
    <d v="2023-04-25T00:00:00"/>
    <d v="2023-01-29T00:00:00"/>
    <d v="2023-04-25T00:00:00"/>
    <s v="Completed"/>
    <n v="100"/>
    <n v="13687368"/>
    <m/>
    <s v="2023-01-29T14:02:00"/>
    <s v="2023-01-29T14:02:00"/>
    <s v="system@alrashdeng.ae"/>
    <n v="1"/>
    <b v="1"/>
    <m/>
    <n v="0"/>
    <m/>
    <x v="0"/>
    <x v="0"/>
  </r>
  <r>
    <s v="PH-PRJ-087-08"/>
    <x v="86"/>
    <x v="7"/>
    <d v="2023-04-25T00:00:00"/>
    <d v="2023-08-11T00:00:00"/>
    <d v="2023-04-25T00:00:00"/>
    <d v="2023-08-11T00:00:00"/>
    <s v="Completed"/>
    <n v="100"/>
    <n v="17109210"/>
    <m/>
    <s v="2023-04-25T10:18:00"/>
    <s v="2023-04-25T10:18:00"/>
    <s v="system@alrashdeng.ae"/>
    <n v="1"/>
    <b v="1"/>
    <m/>
    <n v="0"/>
    <m/>
    <x v="0"/>
    <x v="0"/>
  </r>
  <r>
    <s v="PH-PRJ-087-09"/>
    <x v="86"/>
    <x v="8"/>
    <d v="2023-08-11T00:00:00"/>
    <d v="2023-09-12T00:00:00"/>
    <d v="2023-08-11T00:00:00"/>
    <d v="2023-09-12T00:00:00"/>
    <s v="Completed"/>
    <n v="100"/>
    <n v="5132763"/>
    <m/>
    <s v="2023-08-11T16:07:00"/>
    <s v="2023-08-11T16:07:00"/>
    <s v="system@alrashdeng.ae"/>
    <n v="1"/>
    <b v="1"/>
    <m/>
    <n v="0"/>
    <m/>
    <x v="0"/>
    <x v="0"/>
  </r>
  <r>
    <s v="PH-PRJ-087-10"/>
    <x v="86"/>
    <x v="9"/>
    <d v="2023-09-12T00:00:00"/>
    <d v="2023-10-03T00:00:00"/>
    <d v="2023-09-12T00:00:00"/>
    <d v="2023-10-03T00:00:00"/>
    <s v="Completed"/>
    <n v="100"/>
    <n v="3421842"/>
    <m/>
    <s v="2023-09-12T07:31:00"/>
    <s v="2023-09-12T07:31:00"/>
    <s v="system@alrashdeng.ae"/>
    <n v="1"/>
    <b v="1"/>
    <m/>
    <n v="0"/>
    <m/>
    <x v="0"/>
    <x v="0"/>
  </r>
  <r>
    <s v="PH-PRJ-088-01"/>
    <x v="87"/>
    <x v="0"/>
    <d v="2023-03-08T00:00:00"/>
    <d v="2023-05-10T00:00:00"/>
    <d v="2023-03-08T00:00:00"/>
    <d v="2023-05-10T00:00:00"/>
    <s v="Completed"/>
    <n v="100"/>
    <n v="12791129"/>
    <m/>
    <s v="2023-03-08T11:00:00"/>
    <s v="2023-03-08T11:00:00"/>
    <s v="system@alrashdeng.ae"/>
    <n v="1"/>
    <b v="1"/>
    <m/>
    <n v="0"/>
    <m/>
    <x v="0"/>
    <x v="0"/>
  </r>
  <r>
    <s v="PH-PRJ-088-02"/>
    <x v="87"/>
    <x v="1"/>
    <d v="2023-05-10T00:00:00"/>
    <d v="2023-09-13T00:00:00"/>
    <d v="2023-05-10T00:00:00"/>
    <d v="2023-09-13T00:00:00"/>
    <s v="Completed"/>
    <n v="100"/>
    <n v="25582258"/>
    <m/>
    <s v="2023-05-10T13:22:00"/>
    <s v="2023-05-10T13:22:00"/>
    <s v="system@alrashdeng.ae"/>
    <n v="1"/>
    <b v="1"/>
    <m/>
    <n v="0"/>
    <m/>
    <x v="0"/>
    <x v="0"/>
  </r>
  <r>
    <s v="PH-PRJ-088-03"/>
    <x v="87"/>
    <x v="2"/>
    <d v="2023-09-13T00:00:00"/>
    <d v="2024-02-11T00:00:00"/>
    <d v="2023-09-13T00:00:00"/>
    <d v="2024-02-11T00:00:00"/>
    <s v="Completed"/>
    <n v="100"/>
    <n v="30698710"/>
    <m/>
    <s v="2023-09-13T17:53:00"/>
    <s v="2023-09-13T17:53:00"/>
    <s v="system@alrashdeng.ae"/>
    <n v="1"/>
    <b v="1"/>
    <s v="Critical Phase"/>
    <n v="0"/>
    <m/>
    <x v="0"/>
    <x v="0"/>
  </r>
  <r>
    <s v="PH-PRJ-088-04"/>
    <x v="87"/>
    <x v="3"/>
    <d v="2024-02-11T00:00:00"/>
    <d v="2024-08-18T00:00:00"/>
    <d v="2024-02-11T00:00:00"/>
    <d v="2024-08-18T00:00:00"/>
    <s v="Completed"/>
    <n v="100"/>
    <n v="38373388"/>
    <m/>
    <s v="2024-02-11T07:03:00"/>
    <s v="2024-02-11T07:03:00"/>
    <s v="system@alrashdeng.ae"/>
    <n v="1"/>
    <b v="1"/>
    <m/>
    <n v="0"/>
    <m/>
    <x v="0"/>
    <x v="0"/>
  </r>
  <r>
    <s v="PH-PRJ-088-05"/>
    <x v="87"/>
    <x v="4"/>
    <d v="2024-08-18T00:00:00"/>
    <d v="2025-06-29T00:00:00"/>
    <d v="2024-08-18T00:00:00"/>
    <d v="2025-06-29T00:00:00"/>
    <s v="Completed"/>
    <n v="100"/>
    <n v="63955646"/>
    <m/>
    <s v="2024-08-18T11:08:00"/>
    <s v="2024-08-18T11:08:00"/>
    <s v="system@alrashdeng.ae"/>
    <n v="1"/>
    <b v="1"/>
    <s v="Critical Phase"/>
    <n v="0"/>
    <m/>
    <x v="0"/>
    <x v="0"/>
  </r>
  <r>
    <s v="PH-PRJ-088-06"/>
    <x v="87"/>
    <x v="5"/>
    <d v="2025-06-29T00:00:00"/>
    <d v="2025-11-02T00:00:00"/>
    <d v="2025-06-29T00:00:00"/>
    <d v="2025-11-02T00:00:00"/>
    <s v="Completed"/>
    <n v="100"/>
    <n v="25582258"/>
    <m/>
    <s v="2025-06-29T12:56:00"/>
    <s v="2025-06-29T12:56:00"/>
    <s v="system@alrashdeng.ae"/>
    <n v="1"/>
    <b v="1"/>
    <m/>
    <n v="0"/>
    <m/>
    <x v="0"/>
    <x v="0"/>
  </r>
  <r>
    <s v="PH-PRJ-088-07"/>
    <x v="87"/>
    <x v="6"/>
    <d v="2025-11-02T00:00:00"/>
    <d v="2026-02-10T00:00:00"/>
    <d v="2025-11-02T00:00:00"/>
    <d v="2026-02-10T00:00:00"/>
    <s v="Completed"/>
    <n v="100"/>
    <n v="20465806"/>
    <m/>
    <s v="2025-11-02T11:50:00"/>
    <s v="2025-11-02T11:50:00"/>
    <s v="system@alrashdeng.ae"/>
    <n v="1"/>
    <b v="1"/>
    <m/>
    <n v="0"/>
    <m/>
    <x v="0"/>
    <x v="0"/>
  </r>
  <r>
    <s v="PH-PRJ-088-08"/>
    <x v="87"/>
    <x v="7"/>
    <d v="2026-02-10T00:00:00"/>
    <d v="2026-06-16T00:00:00"/>
    <d v="2026-02-10T00:00:00"/>
    <m/>
    <s v="In Progress"/>
    <n v="84"/>
    <n v="25582258"/>
    <m/>
    <s v="2026-02-10T17:49:00"/>
    <s v="2026-02-10T17:49:00"/>
    <s v="system@alrashdeng.ae"/>
    <n v="1"/>
    <b v="1"/>
    <m/>
    <m/>
    <n v="105"/>
    <x v="1"/>
    <x v="49"/>
  </r>
  <r>
    <s v="PH-PRJ-088-09"/>
    <x v="87"/>
    <x v="8"/>
    <d v="2026-06-16T00:00:00"/>
    <d v="2026-07-23T00:00:00"/>
    <m/>
    <m/>
    <s v="Not Started"/>
    <n v="0"/>
    <n v="7674677"/>
    <m/>
    <s v="2026-06-16T15:09:00"/>
    <s v="2026-06-16T15:09:00"/>
    <s v="system@alrashdeng.ae"/>
    <n v="1"/>
    <b v="1"/>
    <m/>
    <m/>
    <n v="68"/>
    <x v="1"/>
    <x v="50"/>
  </r>
  <r>
    <s v="PH-PRJ-088-10"/>
    <x v="87"/>
    <x v="9"/>
    <d v="2026-07-23T00:00:00"/>
    <d v="2026-08-17T00:00:00"/>
    <m/>
    <m/>
    <s v="Not Started"/>
    <n v="0"/>
    <n v="5116451"/>
    <m/>
    <s v="2026-07-23T08:45:00"/>
    <s v="2026-07-23T08:45:00"/>
    <s v="system@alrashdeng.ae"/>
    <n v="1"/>
    <b v="1"/>
    <m/>
    <m/>
    <n v="43"/>
    <x v="1"/>
    <x v="51"/>
  </r>
  <r>
    <s v="PH-PRJ-089-01"/>
    <x v="88"/>
    <x v="0"/>
    <d v="2024-02-09T00:00:00"/>
    <d v="2024-04-18T00:00:00"/>
    <d v="2024-02-09T00:00:00"/>
    <d v="2024-04-18T00:00:00"/>
    <s v="Completed"/>
    <n v="100"/>
    <n v="8562407"/>
    <m/>
    <s v="2024-02-09T11:09:00"/>
    <s v="2024-02-09T11:09:00"/>
    <s v="system@alrashdeng.ae"/>
    <n v="1"/>
    <b v="1"/>
    <m/>
    <n v="0"/>
    <m/>
    <x v="0"/>
    <x v="0"/>
  </r>
  <r>
    <s v="PH-PRJ-089-02"/>
    <x v="88"/>
    <x v="1"/>
    <d v="2024-04-18T00:00:00"/>
    <d v="2024-09-03T00:00:00"/>
    <d v="2024-04-18T00:00:00"/>
    <d v="2024-09-03T00:00:00"/>
    <s v="Completed"/>
    <n v="100"/>
    <n v="17124815"/>
    <m/>
    <s v="2024-04-18T10:27:00"/>
    <s v="2024-04-18T10:27:00"/>
    <s v="system@alrashdeng.ae"/>
    <n v="1"/>
    <b v="1"/>
    <m/>
    <n v="0"/>
    <m/>
    <x v="0"/>
    <x v="0"/>
  </r>
  <r>
    <s v="PH-PRJ-089-03"/>
    <x v="88"/>
    <x v="2"/>
    <d v="2024-09-03T00:00:00"/>
    <d v="2025-02-15T00:00:00"/>
    <d v="2024-09-03T00:00:00"/>
    <d v="2025-02-15T00:00:00"/>
    <s v="Completed"/>
    <n v="100"/>
    <n v="20549778"/>
    <m/>
    <s v="2024-09-03T16:58:00"/>
    <s v="2024-09-03T16:58:00"/>
    <s v="system@alrashdeng.ae"/>
    <n v="1"/>
    <b v="1"/>
    <s v="Critical Phase"/>
    <n v="0"/>
    <m/>
    <x v="0"/>
    <x v="0"/>
  </r>
  <r>
    <s v="PH-PRJ-089-04"/>
    <x v="88"/>
    <x v="3"/>
    <d v="2025-02-15T00:00:00"/>
    <d v="2025-09-10T00:00:00"/>
    <d v="2025-02-15T00:00:00"/>
    <d v="2025-09-10T00:00:00"/>
    <s v="Completed"/>
    <n v="100"/>
    <n v="25687223"/>
    <m/>
    <s v="2025-02-15T08:18:00"/>
    <s v="2025-02-15T08:18:00"/>
    <s v="system@alrashdeng.ae"/>
    <n v="1"/>
    <b v="1"/>
    <m/>
    <n v="0"/>
    <m/>
    <x v="0"/>
    <x v="0"/>
  </r>
  <r>
    <s v="PH-PRJ-089-05"/>
    <x v="88"/>
    <x v="4"/>
    <d v="2025-09-10T00:00:00"/>
    <d v="2026-08-21T00:00:00"/>
    <d v="2025-09-10T00:00:00"/>
    <m/>
    <s v="In Progress"/>
    <n v="48"/>
    <n v="42812039"/>
    <m/>
    <s v="2025-09-10T07:30:00"/>
    <s v="2025-09-10T07:30:00"/>
    <s v="system@alrashdeng.ae"/>
    <n v="1"/>
    <b v="1"/>
    <s v="Critical Phase"/>
    <m/>
    <n v="39"/>
    <x v="1"/>
    <x v="52"/>
  </r>
  <r>
    <s v="PH-PRJ-089-06"/>
    <x v="88"/>
    <x v="5"/>
    <d v="2026-08-21T00:00:00"/>
    <d v="2027-01-06T00:00:00"/>
    <m/>
    <m/>
    <s v="Not Started"/>
    <n v="0"/>
    <n v="17124815"/>
    <m/>
    <s v="2026-08-21T12:15:00"/>
    <s v="2026-08-21T12:15:00"/>
    <s v="system@alrashdeng.ae"/>
    <n v="1"/>
    <b v="1"/>
    <m/>
    <m/>
    <n v="-99"/>
    <x v="0"/>
    <x v="0"/>
  </r>
  <r>
    <s v="PH-PRJ-089-07"/>
    <x v="88"/>
    <x v="6"/>
    <d v="2027-01-06T00:00:00"/>
    <d v="2027-04-26T00:00:00"/>
    <m/>
    <m/>
    <s v="Not Started"/>
    <n v="0"/>
    <n v="13699852"/>
    <m/>
    <s v="2027-01-06T17:40:00"/>
    <s v="2027-01-06T17:40:00"/>
    <s v="system@alrashdeng.ae"/>
    <n v="1"/>
    <b v="1"/>
    <m/>
    <m/>
    <n v="-209"/>
    <x v="0"/>
    <x v="0"/>
  </r>
  <r>
    <s v="PH-PRJ-089-08"/>
    <x v="88"/>
    <x v="7"/>
    <d v="2027-04-26T00:00:00"/>
    <d v="2027-09-11T00:00:00"/>
    <m/>
    <m/>
    <s v="Not Started"/>
    <n v="0"/>
    <n v="17124815"/>
    <m/>
    <s v="2027-04-26T13:27:00"/>
    <s v="2027-04-26T13:27:00"/>
    <s v="system@alrashdeng.ae"/>
    <n v="1"/>
    <b v="1"/>
    <m/>
    <m/>
    <n v="-347"/>
    <x v="0"/>
    <x v="0"/>
  </r>
  <r>
    <s v="PH-PRJ-089-09"/>
    <x v="88"/>
    <x v="8"/>
    <d v="2027-09-11T00:00:00"/>
    <d v="2027-10-22T00:00:00"/>
    <m/>
    <m/>
    <s v="Not Started"/>
    <n v="0"/>
    <n v="5137444"/>
    <m/>
    <s v="2027-09-11T13:57:00"/>
    <s v="2027-09-11T13:57:00"/>
    <s v="system@alrashdeng.ae"/>
    <n v="1"/>
    <b v="1"/>
    <m/>
    <m/>
    <n v="-388"/>
    <x v="0"/>
    <x v="0"/>
  </r>
  <r>
    <s v="PH-PRJ-089-10"/>
    <x v="88"/>
    <x v="9"/>
    <d v="2027-10-22T00:00:00"/>
    <d v="2027-11-18T00:00:00"/>
    <m/>
    <m/>
    <s v="Not Started"/>
    <n v="0"/>
    <n v="3424963"/>
    <m/>
    <s v="2027-10-22T08:57:00"/>
    <s v="2027-10-22T08:57:00"/>
    <s v="system@alrashdeng.ae"/>
    <n v="1"/>
    <b v="1"/>
    <m/>
    <m/>
    <n v="-415"/>
    <x v="0"/>
    <x v="0"/>
  </r>
  <r>
    <s v="PH-PRJ-090-01"/>
    <x v="89"/>
    <x v="0"/>
    <d v="2025-02-01T00:00:00"/>
    <d v="2025-03-18T00:00:00"/>
    <d v="2025-02-01T00:00:00"/>
    <d v="2025-03-18T00:00:00"/>
    <s v="Completed"/>
    <n v="100"/>
    <n v="12844936"/>
    <m/>
    <s v="2025-02-01T11:58:00"/>
    <s v="2025-02-01T11:58:00"/>
    <s v="system@alrashdeng.ae"/>
    <n v="1"/>
    <b v="1"/>
    <m/>
    <n v="0"/>
    <m/>
    <x v="0"/>
    <x v="0"/>
  </r>
  <r>
    <s v="PH-PRJ-090-02"/>
    <x v="89"/>
    <x v="1"/>
    <d v="2025-03-18T00:00:00"/>
    <d v="2025-06-16T00:00:00"/>
    <d v="2025-03-18T00:00:00"/>
    <d v="2025-06-16T00:00:00"/>
    <s v="Completed"/>
    <n v="100"/>
    <n v="25689873"/>
    <m/>
    <s v="2025-03-18T11:38:00"/>
    <s v="2025-03-18T11:38:00"/>
    <s v="system@alrashdeng.ae"/>
    <n v="1"/>
    <b v="1"/>
    <m/>
    <n v="0"/>
    <m/>
    <x v="0"/>
    <x v="0"/>
  </r>
  <r>
    <s v="PH-PRJ-090-03"/>
    <x v="89"/>
    <x v="2"/>
    <d v="2025-06-16T00:00:00"/>
    <d v="2025-10-02T00:00:00"/>
    <d v="2025-06-16T00:00:00"/>
    <d v="2025-10-02T00:00:00"/>
    <s v="Completed"/>
    <n v="100"/>
    <n v="30827847"/>
    <m/>
    <s v="2025-06-16T11:11:00"/>
    <s v="2025-06-16T11:11:00"/>
    <s v="system@alrashdeng.ae"/>
    <n v="1"/>
    <b v="1"/>
    <s v="Critical Phase"/>
    <n v="0"/>
    <m/>
    <x v="0"/>
    <x v="0"/>
  </r>
  <r>
    <s v="PH-PRJ-090-04"/>
    <x v="89"/>
    <x v="3"/>
    <d v="2025-10-02T00:00:00"/>
    <d v="2026-02-14T00:00:00"/>
    <d v="2025-10-02T00:00:00"/>
    <d v="2026-02-14T00:00:00"/>
    <s v="Completed"/>
    <n v="100"/>
    <n v="38534809"/>
    <m/>
    <s v="2025-10-02T16:27:00"/>
    <s v="2025-10-02T16:27:00"/>
    <s v="system@alrashdeng.ae"/>
    <n v="1"/>
    <b v="1"/>
    <m/>
    <n v="0"/>
    <m/>
    <x v="0"/>
    <x v="0"/>
  </r>
  <r>
    <s v="PH-PRJ-090-05"/>
    <x v="89"/>
    <x v="4"/>
    <d v="2026-02-14T00:00:00"/>
    <d v="2026-09-27T00:00:00"/>
    <d v="2026-02-14T00:00:00"/>
    <m/>
    <s v="In Progress"/>
    <n v="61"/>
    <n v="64224683"/>
    <m/>
    <s v="2026-02-14T16:08:00"/>
    <s v="2026-02-14T16:08:00"/>
    <s v="system@alrashdeng.ae"/>
    <n v="1"/>
    <b v="1"/>
    <s v="Critical Phase"/>
    <m/>
    <n v="2"/>
    <x v="1"/>
    <x v="53"/>
  </r>
  <r>
    <s v="PH-PRJ-090-06"/>
    <x v="89"/>
    <x v="5"/>
    <d v="2026-09-27T00:00:00"/>
    <d v="2026-12-26T00:00:00"/>
    <m/>
    <m/>
    <s v="Not Started"/>
    <n v="0"/>
    <n v="25689873"/>
    <m/>
    <s v="2026-09-27T17:49:00"/>
    <s v="2026-09-27T17:49:00"/>
    <s v="system@alrashdeng.ae"/>
    <n v="1"/>
    <b v="1"/>
    <m/>
    <m/>
    <n v="-88"/>
    <x v="0"/>
    <x v="0"/>
  </r>
  <r>
    <s v="PH-PRJ-090-07"/>
    <x v="89"/>
    <x v="6"/>
    <d v="2026-12-26T00:00:00"/>
    <d v="2027-03-08T00:00:00"/>
    <m/>
    <m/>
    <s v="Not Started"/>
    <n v="0"/>
    <n v="20551898"/>
    <m/>
    <s v="2026-12-26T10:16:00"/>
    <s v="2026-12-26T10:16:00"/>
    <s v="system@alrashdeng.ae"/>
    <n v="1"/>
    <b v="1"/>
    <m/>
    <m/>
    <n v="-160"/>
    <x v="0"/>
    <x v="0"/>
  </r>
  <r>
    <s v="PH-PRJ-090-08"/>
    <x v="89"/>
    <x v="7"/>
    <d v="2027-03-08T00:00:00"/>
    <d v="2027-06-06T00:00:00"/>
    <m/>
    <m/>
    <s v="Not Started"/>
    <n v="0"/>
    <n v="25689873"/>
    <m/>
    <s v="2027-03-08T09:26:00"/>
    <s v="2027-03-08T09:26:00"/>
    <s v="system@alrashdeng.ae"/>
    <n v="1"/>
    <b v="1"/>
    <m/>
    <m/>
    <n v="-250"/>
    <x v="0"/>
    <x v="0"/>
  </r>
  <r>
    <s v="PH-PRJ-090-09"/>
    <x v="89"/>
    <x v="8"/>
    <d v="2027-06-06T00:00:00"/>
    <d v="2027-07-03T00:00:00"/>
    <m/>
    <m/>
    <s v="Not Started"/>
    <n v="0"/>
    <n v="7706961"/>
    <m/>
    <s v="2027-06-06T15:12:00"/>
    <s v="2027-06-06T15:12:00"/>
    <s v="system@alrashdeng.ae"/>
    <n v="1"/>
    <b v="1"/>
    <m/>
    <m/>
    <n v="-277"/>
    <x v="0"/>
    <x v="0"/>
  </r>
  <r>
    <s v="PH-PRJ-090-10"/>
    <x v="89"/>
    <x v="9"/>
    <d v="2027-07-03T00:00:00"/>
    <d v="2027-07-21T00:00:00"/>
    <m/>
    <m/>
    <s v="Not Started"/>
    <n v="0"/>
    <n v="5137974"/>
    <m/>
    <s v="2027-07-03T11:19:00"/>
    <s v="2027-07-03T11:19:00"/>
    <s v="system@alrashdeng.ae"/>
    <n v="1"/>
    <b v="1"/>
    <m/>
    <m/>
    <n v="-295"/>
    <x v="0"/>
    <x v="0"/>
  </r>
  <r>
    <s v="PH-PRJ-091-01"/>
    <x v="90"/>
    <x v="0"/>
    <d v="2025-01-03T00:00:00"/>
    <d v="2025-02-08T00:00:00"/>
    <d v="2025-01-03T00:00:00"/>
    <d v="2025-02-08T00:00:00"/>
    <s v="Completed"/>
    <n v="100"/>
    <n v="11302450"/>
    <m/>
    <s v="2025-01-03T08:19:00"/>
    <s v="2025-01-03T08:19:00"/>
    <s v="system@alrashdeng.ae"/>
    <n v="1"/>
    <b v="1"/>
    <m/>
    <n v="0"/>
    <m/>
    <x v="0"/>
    <x v="0"/>
  </r>
  <r>
    <s v="PH-PRJ-091-02"/>
    <x v="90"/>
    <x v="1"/>
    <d v="2025-02-08T00:00:00"/>
    <d v="2025-04-21T00:00:00"/>
    <d v="2025-02-08T00:00:00"/>
    <d v="2025-04-21T00:00:00"/>
    <s v="Completed"/>
    <n v="100"/>
    <n v="22604900"/>
    <m/>
    <s v="2025-02-08T16:59:00"/>
    <s v="2025-02-08T16:59:00"/>
    <s v="system@alrashdeng.ae"/>
    <n v="1"/>
    <b v="1"/>
    <m/>
    <n v="0"/>
    <m/>
    <x v="0"/>
    <x v="0"/>
  </r>
  <r>
    <s v="PH-PRJ-091-03"/>
    <x v="90"/>
    <x v="2"/>
    <d v="2025-04-21T00:00:00"/>
    <d v="2025-07-16T00:00:00"/>
    <d v="2025-04-21T00:00:00"/>
    <d v="2025-07-16T00:00:00"/>
    <s v="Completed"/>
    <n v="100"/>
    <n v="27125880"/>
    <m/>
    <s v="2025-04-21T17:29:00"/>
    <s v="2025-04-21T17:29:00"/>
    <s v="system@alrashdeng.ae"/>
    <n v="1"/>
    <b v="1"/>
    <s v="Critical Phase"/>
    <n v="0"/>
    <m/>
    <x v="0"/>
    <x v="0"/>
  </r>
  <r>
    <s v="PH-PRJ-091-04"/>
    <x v="90"/>
    <x v="3"/>
    <d v="2025-07-16T00:00:00"/>
    <d v="2025-11-01T00:00:00"/>
    <d v="2025-07-16T00:00:00"/>
    <d v="2025-11-01T00:00:00"/>
    <s v="Completed"/>
    <n v="100"/>
    <n v="33907351"/>
    <m/>
    <s v="2025-07-16T15:11:00"/>
    <s v="2025-07-16T15:11:00"/>
    <s v="system@alrashdeng.ae"/>
    <n v="1"/>
    <b v="1"/>
    <m/>
    <n v="0"/>
    <m/>
    <x v="0"/>
    <x v="0"/>
  </r>
  <r>
    <s v="PH-PRJ-091-05"/>
    <x v="90"/>
    <x v="4"/>
    <d v="2025-11-01T00:00:00"/>
    <d v="2026-04-30T00:00:00"/>
    <d v="2025-11-01T00:00:00"/>
    <m/>
    <s v="In Progress"/>
    <n v="68"/>
    <n v="56512252"/>
    <m/>
    <s v="2025-11-01T13:06:00"/>
    <s v="2025-11-01T13:06:00"/>
    <s v="system@alrashdeng.ae"/>
    <n v="1"/>
    <b v="1"/>
    <s v="Critical Phase"/>
    <m/>
    <n v="152"/>
    <x v="1"/>
    <x v="54"/>
  </r>
  <r>
    <s v="PH-PRJ-091-06"/>
    <x v="90"/>
    <x v="5"/>
    <d v="2026-04-30T00:00:00"/>
    <d v="2026-07-11T00:00:00"/>
    <m/>
    <m/>
    <s v="Not Started"/>
    <n v="0"/>
    <n v="22604900"/>
    <m/>
    <s v="2026-04-30T09:33:00"/>
    <s v="2026-04-30T09:33:00"/>
    <s v="system@alrashdeng.ae"/>
    <n v="1"/>
    <b v="1"/>
    <m/>
    <m/>
    <n v="80"/>
    <x v="1"/>
    <x v="55"/>
  </r>
  <r>
    <s v="PH-PRJ-091-07"/>
    <x v="90"/>
    <x v="6"/>
    <d v="2026-07-11T00:00:00"/>
    <d v="2026-09-06T00:00:00"/>
    <m/>
    <m/>
    <s v="Not Started"/>
    <n v="0"/>
    <n v="18083920"/>
    <m/>
    <s v="2026-07-11T14:44:00"/>
    <s v="2026-07-11T14:44:00"/>
    <s v="system@alrashdeng.ae"/>
    <n v="1"/>
    <b v="1"/>
    <m/>
    <m/>
    <n v="23"/>
    <x v="1"/>
    <x v="56"/>
  </r>
  <r>
    <s v="PH-PRJ-091-08"/>
    <x v="90"/>
    <x v="7"/>
    <d v="2026-09-06T00:00:00"/>
    <d v="2026-11-17T00:00:00"/>
    <m/>
    <m/>
    <s v="Not Started"/>
    <n v="0"/>
    <n v="22604900"/>
    <m/>
    <s v="2026-09-06T12:32:00"/>
    <s v="2026-09-06T12:32:00"/>
    <s v="system@alrashdeng.ae"/>
    <n v="1"/>
    <b v="1"/>
    <m/>
    <m/>
    <n v="-49"/>
    <x v="0"/>
    <x v="0"/>
  </r>
  <r>
    <s v="PH-PRJ-091-09"/>
    <x v="90"/>
    <x v="8"/>
    <d v="2026-11-17T00:00:00"/>
    <d v="2026-12-08T00:00:00"/>
    <m/>
    <m/>
    <s v="Not Started"/>
    <n v="0"/>
    <n v="6781470"/>
    <m/>
    <s v="2026-11-17T17:45:00"/>
    <s v="2026-11-17T17:45:00"/>
    <s v="system@alrashdeng.ae"/>
    <n v="1"/>
    <b v="1"/>
    <m/>
    <m/>
    <n v="-70"/>
    <x v="0"/>
    <x v="0"/>
  </r>
  <r>
    <s v="PH-PRJ-091-10"/>
    <x v="90"/>
    <x v="9"/>
    <d v="2026-12-08T00:00:00"/>
    <d v="2026-12-22T00:00:00"/>
    <m/>
    <m/>
    <s v="Not Started"/>
    <n v="0"/>
    <n v="4520980"/>
    <m/>
    <s v="2026-12-08T12:29:00"/>
    <s v="2026-12-08T12:29:00"/>
    <s v="system@alrashdeng.ae"/>
    <n v="1"/>
    <b v="1"/>
    <m/>
    <m/>
    <n v="-84"/>
    <x v="0"/>
    <x v="0"/>
  </r>
  <r>
    <s v="PH-PRJ-092-01"/>
    <x v="91"/>
    <x v="0"/>
    <d v="2023-01-17T00:00:00"/>
    <d v="2023-03-01T00:00:00"/>
    <d v="2023-01-17T00:00:00"/>
    <d v="2023-03-01T00:00:00"/>
    <s v="Completed"/>
    <n v="100"/>
    <n v="7891736"/>
    <m/>
    <s v="2023-01-17T12:27:00"/>
    <s v="2023-01-17T12:27:00"/>
    <s v="system@alrashdeng.ae"/>
    <n v="1"/>
    <b v="1"/>
    <m/>
    <n v="0"/>
    <m/>
    <x v="0"/>
    <x v="0"/>
  </r>
  <r>
    <s v="PH-PRJ-092-02"/>
    <x v="91"/>
    <x v="1"/>
    <d v="2023-03-01T00:00:00"/>
    <d v="2023-05-27T00:00:00"/>
    <d v="2023-03-01T00:00:00"/>
    <d v="2023-05-27T00:00:00"/>
    <s v="Completed"/>
    <n v="100"/>
    <n v="15783472"/>
    <m/>
    <s v="2023-03-01T14:26:00"/>
    <s v="2023-03-01T14:26:00"/>
    <s v="system@alrashdeng.ae"/>
    <n v="1"/>
    <b v="1"/>
    <m/>
    <n v="0"/>
    <m/>
    <x v="0"/>
    <x v="0"/>
  </r>
  <r>
    <s v="PH-PRJ-092-03"/>
    <x v="91"/>
    <x v="2"/>
    <d v="2023-05-27T00:00:00"/>
    <d v="2023-09-08T00:00:00"/>
    <d v="2023-05-27T00:00:00"/>
    <d v="2023-09-08T00:00:00"/>
    <s v="Completed"/>
    <n v="100"/>
    <n v="18940166"/>
    <m/>
    <s v="2023-05-27T13:29:00"/>
    <s v="2023-05-27T13:29:00"/>
    <s v="system@alrashdeng.ae"/>
    <n v="1"/>
    <b v="1"/>
    <s v="Critical Phase"/>
    <n v="0"/>
    <m/>
    <x v="0"/>
    <x v="0"/>
  </r>
  <r>
    <s v="PH-PRJ-092-04"/>
    <x v="91"/>
    <x v="3"/>
    <d v="2023-09-08T00:00:00"/>
    <d v="2024-01-16T00:00:00"/>
    <d v="2023-09-08T00:00:00"/>
    <d v="2024-01-16T00:00:00"/>
    <s v="Completed"/>
    <n v="100"/>
    <n v="23675208"/>
    <m/>
    <s v="2023-09-08T07:58:00"/>
    <s v="2023-09-08T07:58:00"/>
    <s v="system@alrashdeng.ae"/>
    <n v="1"/>
    <b v="1"/>
    <m/>
    <n v="0"/>
    <m/>
    <x v="0"/>
    <x v="0"/>
  </r>
  <r>
    <s v="PH-PRJ-092-05"/>
    <x v="91"/>
    <x v="4"/>
    <d v="2024-01-16T00:00:00"/>
    <d v="2024-08-20T00:00:00"/>
    <d v="2024-01-16T00:00:00"/>
    <d v="2024-08-20T00:00:00"/>
    <s v="Completed"/>
    <n v="100"/>
    <n v="39458680"/>
    <m/>
    <s v="2024-01-16T15:01:00"/>
    <s v="2024-01-16T15:01:00"/>
    <s v="system@alrashdeng.ae"/>
    <n v="1"/>
    <b v="1"/>
    <s v="Critical Phase"/>
    <n v="0"/>
    <m/>
    <x v="0"/>
    <x v="0"/>
  </r>
  <r>
    <s v="PH-PRJ-092-06"/>
    <x v="91"/>
    <x v="5"/>
    <d v="2024-08-20T00:00:00"/>
    <d v="2024-11-15T00:00:00"/>
    <d v="2024-08-20T00:00:00"/>
    <d v="2024-11-15T00:00:00"/>
    <s v="Completed"/>
    <n v="100"/>
    <n v="15783472"/>
    <m/>
    <s v="2024-08-20T13:05:00"/>
    <s v="2024-08-20T13:05:00"/>
    <s v="system@alrashdeng.ae"/>
    <n v="1"/>
    <b v="1"/>
    <m/>
    <n v="0"/>
    <m/>
    <x v="0"/>
    <x v="0"/>
  </r>
  <r>
    <s v="PH-PRJ-092-07"/>
    <x v="91"/>
    <x v="6"/>
    <d v="2024-11-15T00:00:00"/>
    <d v="2025-01-23T00:00:00"/>
    <d v="2024-11-15T00:00:00"/>
    <d v="2025-01-23T00:00:00"/>
    <s v="Completed"/>
    <n v="100"/>
    <n v="12626777"/>
    <m/>
    <s v="2024-11-15T09:39:00"/>
    <s v="2024-11-15T09:39:00"/>
    <s v="system@alrashdeng.ae"/>
    <n v="1"/>
    <b v="1"/>
    <m/>
    <n v="0"/>
    <m/>
    <x v="0"/>
    <x v="0"/>
  </r>
  <r>
    <s v="PH-PRJ-092-08"/>
    <x v="91"/>
    <x v="7"/>
    <d v="2025-01-23T00:00:00"/>
    <d v="2025-04-20T00:00:00"/>
    <d v="2025-01-23T00:00:00"/>
    <d v="2025-04-20T00:00:00"/>
    <s v="Completed"/>
    <n v="100"/>
    <n v="15783472"/>
    <m/>
    <s v="2025-01-23T11:50:00"/>
    <s v="2025-01-23T11:50:00"/>
    <s v="system@alrashdeng.ae"/>
    <n v="1"/>
    <b v="1"/>
    <m/>
    <n v="0"/>
    <m/>
    <x v="0"/>
    <x v="0"/>
  </r>
  <r>
    <s v="PH-PRJ-092-09"/>
    <x v="91"/>
    <x v="8"/>
    <d v="2025-04-20T00:00:00"/>
    <d v="2025-05-16T00:00:00"/>
    <d v="2025-04-20T00:00:00"/>
    <d v="2025-05-16T00:00:00"/>
    <s v="Completed"/>
    <n v="100"/>
    <n v="4735041"/>
    <m/>
    <s v="2025-04-20T10:37:00"/>
    <s v="2025-04-20T10:37:00"/>
    <s v="system@alrashdeng.ae"/>
    <n v="1"/>
    <b v="1"/>
    <m/>
    <n v="0"/>
    <m/>
    <x v="0"/>
    <x v="0"/>
  </r>
  <r>
    <s v="PH-PRJ-092-10"/>
    <x v="91"/>
    <x v="9"/>
    <d v="2025-05-16T00:00:00"/>
    <d v="2025-06-02T00:00:00"/>
    <d v="2025-05-16T00:00:00"/>
    <d v="2025-06-02T00:00:00"/>
    <s v="Completed"/>
    <n v="100"/>
    <n v="3156694"/>
    <m/>
    <s v="2025-05-16T15:23:00"/>
    <s v="2025-05-16T15:23:00"/>
    <s v="system@alrashdeng.ae"/>
    <n v="1"/>
    <b v="1"/>
    <m/>
    <n v="0"/>
    <m/>
    <x v="0"/>
    <x v="0"/>
  </r>
  <r>
    <s v="PH-PRJ-093-01"/>
    <x v="92"/>
    <x v="0"/>
    <d v="2020-07-18T00:00:00"/>
    <d v="2020-08-30T00:00:00"/>
    <d v="2020-07-18T00:00:00"/>
    <d v="2020-08-30T00:00:00"/>
    <s v="Completed"/>
    <n v="100"/>
    <n v="19053168"/>
    <m/>
    <s v="2020-07-18T09:39:00"/>
    <s v="2020-07-18T09:39:00"/>
    <s v="system@alrashdeng.ae"/>
    <n v="1"/>
    <b v="1"/>
    <m/>
    <n v="0"/>
    <m/>
    <x v="0"/>
    <x v="0"/>
  </r>
  <r>
    <s v="PH-PRJ-093-02"/>
    <x v="92"/>
    <x v="1"/>
    <d v="2020-08-30T00:00:00"/>
    <d v="2020-11-25T00:00:00"/>
    <d v="2020-08-30T00:00:00"/>
    <d v="2020-11-25T00:00:00"/>
    <s v="Completed"/>
    <n v="100"/>
    <n v="38106336"/>
    <m/>
    <s v="2020-08-30T15:57:00"/>
    <s v="2020-08-30T15:57:00"/>
    <s v="system@alrashdeng.ae"/>
    <n v="1"/>
    <b v="1"/>
    <m/>
    <n v="0"/>
    <m/>
    <x v="0"/>
    <x v="0"/>
  </r>
  <r>
    <s v="PH-PRJ-093-03"/>
    <x v="92"/>
    <x v="2"/>
    <d v="2020-11-25T00:00:00"/>
    <d v="2021-03-09T00:00:00"/>
    <d v="2020-11-25T00:00:00"/>
    <d v="2021-03-09T00:00:00"/>
    <s v="Completed"/>
    <n v="100"/>
    <n v="45727603"/>
    <m/>
    <s v="2020-11-25T16:56:00"/>
    <s v="2020-11-25T16:56:00"/>
    <s v="system@alrashdeng.ae"/>
    <n v="1"/>
    <b v="1"/>
    <s v="Critical Phase"/>
    <n v="0"/>
    <m/>
    <x v="0"/>
    <x v="0"/>
  </r>
  <r>
    <s v="PH-PRJ-093-04"/>
    <x v="92"/>
    <x v="3"/>
    <d v="2021-03-09T00:00:00"/>
    <d v="2021-07-17T00:00:00"/>
    <d v="2021-03-09T00:00:00"/>
    <d v="2021-07-17T00:00:00"/>
    <s v="Completed"/>
    <n v="100"/>
    <n v="57159504"/>
    <m/>
    <s v="2021-03-09T11:03:00"/>
    <s v="2021-03-09T11:03:00"/>
    <s v="system@alrashdeng.ae"/>
    <n v="1"/>
    <b v="1"/>
    <m/>
    <n v="0"/>
    <m/>
    <x v="0"/>
    <x v="0"/>
  </r>
  <r>
    <s v="PH-PRJ-093-05"/>
    <x v="92"/>
    <x v="4"/>
    <d v="2021-07-17T00:00:00"/>
    <d v="2022-02-19T00:00:00"/>
    <d v="2021-07-17T00:00:00"/>
    <d v="2022-02-19T00:00:00"/>
    <s v="Completed"/>
    <n v="100"/>
    <n v="95265840"/>
    <m/>
    <s v="2021-07-17T13:08:00"/>
    <s v="2021-07-17T13:08:00"/>
    <s v="system@alrashdeng.ae"/>
    <n v="1"/>
    <b v="1"/>
    <s v="Critical Phase"/>
    <n v="0"/>
    <m/>
    <x v="0"/>
    <x v="0"/>
  </r>
  <r>
    <s v="PH-PRJ-093-06"/>
    <x v="92"/>
    <x v="5"/>
    <d v="2022-02-19T00:00:00"/>
    <d v="2022-05-17T00:00:00"/>
    <d v="2022-02-19T00:00:00"/>
    <d v="2022-05-17T00:00:00"/>
    <s v="Completed"/>
    <n v="100"/>
    <n v="38106336"/>
    <m/>
    <s v="2022-02-19T13:42:00"/>
    <s v="2022-02-19T13:42:00"/>
    <s v="system@alrashdeng.ae"/>
    <n v="1"/>
    <b v="1"/>
    <m/>
    <n v="0"/>
    <m/>
    <x v="0"/>
    <x v="0"/>
  </r>
  <r>
    <s v="PH-PRJ-093-07"/>
    <x v="92"/>
    <x v="6"/>
    <d v="2022-05-17T00:00:00"/>
    <d v="2022-07-25T00:00:00"/>
    <d v="2022-05-17T00:00:00"/>
    <d v="2022-07-25T00:00:00"/>
    <s v="Completed"/>
    <n v="100"/>
    <n v="30485069"/>
    <m/>
    <s v="2022-05-17T07:29:00"/>
    <s v="2022-05-17T07:29:00"/>
    <s v="system@alrashdeng.ae"/>
    <n v="1"/>
    <b v="1"/>
    <m/>
    <n v="0"/>
    <m/>
    <x v="0"/>
    <x v="0"/>
  </r>
  <r>
    <s v="PH-PRJ-093-08"/>
    <x v="92"/>
    <x v="7"/>
    <d v="2022-07-25T00:00:00"/>
    <d v="2022-10-20T00:00:00"/>
    <d v="2022-07-25T00:00:00"/>
    <d v="2022-10-20T00:00:00"/>
    <s v="Completed"/>
    <n v="100"/>
    <n v="38106336"/>
    <m/>
    <s v="2022-07-25T15:29:00"/>
    <s v="2022-07-25T15:29:00"/>
    <s v="system@alrashdeng.ae"/>
    <n v="1"/>
    <b v="1"/>
    <m/>
    <n v="0"/>
    <m/>
    <x v="0"/>
    <x v="0"/>
  </r>
  <r>
    <s v="PH-PRJ-093-09"/>
    <x v="92"/>
    <x v="8"/>
    <d v="2022-10-20T00:00:00"/>
    <d v="2022-11-15T00:00:00"/>
    <d v="2022-10-20T00:00:00"/>
    <d v="2022-11-15T00:00:00"/>
    <s v="Completed"/>
    <n v="100"/>
    <n v="11431900"/>
    <m/>
    <s v="2022-10-20T07:05:00"/>
    <s v="2022-10-20T07:05:00"/>
    <s v="system@alrashdeng.ae"/>
    <n v="1"/>
    <b v="1"/>
    <m/>
    <n v="0"/>
    <m/>
    <x v="0"/>
    <x v="0"/>
  </r>
  <r>
    <s v="PH-PRJ-093-10"/>
    <x v="92"/>
    <x v="9"/>
    <d v="2022-11-15T00:00:00"/>
    <d v="2022-12-02T00:00:00"/>
    <d v="2022-11-15T00:00:00"/>
    <d v="2022-12-02T00:00:00"/>
    <s v="Completed"/>
    <n v="100"/>
    <n v="7621267"/>
    <m/>
    <s v="2022-11-15T07:17:00"/>
    <s v="2022-11-15T07:17:00"/>
    <s v="system@alrashdeng.ae"/>
    <n v="1"/>
    <b v="1"/>
    <m/>
    <n v="0"/>
    <m/>
    <x v="0"/>
    <x v="0"/>
  </r>
  <r>
    <s v="PH-PRJ-094-01"/>
    <x v="93"/>
    <x v="0"/>
    <d v="2021-07-19T00:00:00"/>
    <d v="2021-09-17T00:00:00"/>
    <d v="2021-07-19T00:00:00"/>
    <d v="2021-09-17T00:00:00"/>
    <s v="Completed"/>
    <n v="100"/>
    <n v="19768131"/>
    <m/>
    <s v="2021-07-19T17:06:00"/>
    <s v="2021-07-19T17:06:00"/>
    <s v="system@alrashdeng.ae"/>
    <n v="1"/>
    <b v="1"/>
    <m/>
    <n v="0"/>
    <m/>
    <x v="0"/>
    <x v="0"/>
  </r>
  <r>
    <s v="PH-PRJ-094-02"/>
    <x v="93"/>
    <x v="1"/>
    <d v="2021-09-17T00:00:00"/>
    <d v="2022-01-15T00:00:00"/>
    <d v="2021-09-17T00:00:00"/>
    <d v="2022-01-15T00:00:00"/>
    <s v="Completed"/>
    <n v="100"/>
    <n v="39536263"/>
    <m/>
    <s v="2021-09-17T12:38:00"/>
    <s v="2021-09-17T12:38:00"/>
    <s v="system@alrashdeng.ae"/>
    <n v="1"/>
    <b v="1"/>
    <m/>
    <n v="0"/>
    <m/>
    <x v="0"/>
    <x v="0"/>
  </r>
  <r>
    <s v="PH-PRJ-094-03"/>
    <x v="93"/>
    <x v="2"/>
    <d v="2022-01-15T00:00:00"/>
    <d v="2022-06-08T00:00:00"/>
    <d v="2022-01-15T00:00:00"/>
    <d v="2022-06-08T00:00:00"/>
    <s v="Completed"/>
    <n v="100"/>
    <n v="47443516"/>
    <m/>
    <s v="2022-01-15T08:52:00"/>
    <s v="2022-01-15T08:52:00"/>
    <s v="system@alrashdeng.ae"/>
    <n v="1"/>
    <b v="1"/>
    <s v="Critical Phase"/>
    <n v="0"/>
    <m/>
    <x v="0"/>
    <x v="0"/>
  </r>
  <r>
    <s v="PH-PRJ-094-04"/>
    <x v="93"/>
    <x v="3"/>
    <d v="2022-06-08T00:00:00"/>
    <d v="2022-12-05T00:00:00"/>
    <d v="2022-06-08T00:00:00"/>
    <d v="2022-12-05T00:00:00"/>
    <s v="Completed"/>
    <n v="100"/>
    <n v="59304395"/>
    <m/>
    <s v="2022-06-08T11:36:00"/>
    <s v="2022-06-08T11:36:00"/>
    <s v="system@alrashdeng.ae"/>
    <n v="1"/>
    <b v="1"/>
    <m/>
    <n v="0"/>
    <m/>
    <x v="0"/>
    <x v="0"/>
  </r>
  <r>
    <s v="PH-PRJ-094-05"/>
    <x v="93"/>
    <x v="4"/>
    <d v="2022-12-05T00:00:00"/>
    <d v="2023-10-01T00:00:00"/>
    <d v="2022-12-05T00:00:00"/>
    <d v="2023-10-01T00:00:00"/>
    <s v="Completed"/>
    <n v="100"/>
    <n v="98840659"/>
    <m/>
    <s v="2022-12-05T14:44:00"/>
    <s v="2022-12-05T14:44:00"/>
    <s v="system@alrashdeng.ae"/>
    <n v="1"/>
    <b v="1"/>
    <s v="Critical Phase"/>
    <n v="0"/>
    <m/>
    <x v="0"/>
    <x v="0"/>
  </r>
  <r>
    <s v="PH-PRJ-094-06"/>
    <x v="93"/>
    <x v="5"/>
    <d v="2023-10-01T00:00:00"/>
    <d v="2024-01-29T00:00:00"/>
    <d v="2023-10-01T00:00:00"/>
    <d v="2024-01-29T00:00:00"/>
    <s v="Completed"/>
    <n v="100"/>
    <n v="39536263"/>
    <m/>
    <s v="2023-10-01T12:55:00"/>
    <s v="2023-10-01T12:55:00"/>
    <s v="system@alrashdeng.ae"/>
    <n v="1"/>
    <b v="1"/>
    <m/>
    <n v="0"/>
    <m/>
    <x v="0"/>
    <x v="0"/>
  </r>
  <r>
    <s v="PH-PRJ-094-07"/>
    <x v="93"/>
    <x v="6"/>
    <d v="2024-01-29T00:00:00"/>
    <d v="2024-05-04T00:00:00"/>
    <d v="2024-01-29T00:00:00"/>
    <d v="2024-05-04T00:00:00"/>
    <s v="Completed"/>
    <n v="100"/>
    <n v="31629011"/>
    <m/>
    <s v="2024-01-29T07:07:00"/>
    <s v="2024-01-29T07:07:00"/>
    <s v="system@alrashdeng.ae"/>
    <n v="1"/>
    <b v="1"/>
    <m/>
    <n v="0"/>
    <m/>
    <x v="0"/>
    <x v="0"/>
  </r>
  <r>
    <s v="PH-PRJ-094-08"/>
    <x v="93"/>
    <x v="7"/>
    <d v="2024-05-04T00:00:00"/>
    <d v="2024-09-01T00:00:00"/>
    <d v="2024-05-04T00:00:00"/>
    <d v="2024-09-01T00:00:00"/>
    <s v="Completed"/>
    <n v="100"/>
    <n v="39536263"/>
    <m/>
    <s v="2024-05-04T16:43:00"/>
    <s v="2024-05-04T16:43:00"/>
    <s v="system@alrashdeng.ae"/>
    <n v="1"/>
    <b v="1"/>
    <m/>
    <n v="0"/>
    <m/>
    <x v="0"/>
    <x v="0"/>
  </r>
  <r>
    <s v="PH-PRJ-094-09"/>
    <x v="93"/>
    <x v="8"/>
    <d v="2024-09-01T00:00:00"/>
    <d v="2024-10-07T00:00:00"/>
    <d v="2024-09-01T00:00:00"/>
    <d v="2024-10-07T00:00:00"/>
    <s v="Completed"/>
    <n v="100"/>
    <n v="11860879"/>
    <m/>
    <s v="2024-09-01T15:47:00"/>
    <s v="2024-09-01T15:47:00"/>
    <s v="system@alrashdeng.ae"/>
    <n v="1"/>
    <b v="1"/>
    <m/>
    <n v="0"/>
    <m/>
    <x v="0"/>
    <x v="0"/>
  </r>
  <r>
    <s v="PH-PRJ-094-10"/>
    <x v="93"/>
    <x v="9"/>
    <d v="2024-10-07T00:00:00"/>
    <d v="2024-10-31T00:00:00"/>
    <d v="2024-10-07T00:00:00"/>
    <d v="2024-10-31T00:00:00"/>
    <s v="Completed"/>
    <n v="100"/>
    <n v="7907252"/>
    <m/>
    <s v="2024-10-07T07:44:00"/>
    <s v="2024-10-07T07:44:00"/>
    <s v="system@alrashdeng.ae"/>
    <n v="1"/>
    <b v="1"/>
    <m/>
    <n v="0"/>
    <m/>
    <x v="0"/>
    <x v="0"/>
  </r>
  <r>
    <s v="PH-PRJ-095-01"/>
    <x v="94"/>
    <x v="0"/>
    <d v="2022-11-25T00:00:00"/>
    <d v="2022-12-20T00:00:00"/>
    <d v="2022-11-25T00:00:00"/>
    <d v="2022-12-20T00:00:00"/>
    <s v="Completed"/>
    <n v="100"/>
    <n v="22893773"/>
    <m/>
    <s v="2022-11-25T10:33:00"/>
    <s v="2022-11-25T10:33:00"/>
    <s v="system@alrashdeng.ae"/>
    <n v="1"/>
    <b v="1"/>
    <m/>
    <n v="0"/>
    <m/>
    <x v="0"/>
    <x v="0"/>
  </r>
  <r>
    <s v="PH-PRJ-095-02"/>
    <x v="94"/>
    <x v="1"/>
    <d v="2022-12-20T00:00:00"/>
    <d v="2023-02-09T00:00:00"/>
    <d v="2022-12-20T00:00:00"/>
    <d v="2023-02-09T00:00:00"/>
    <s v="Completed"/>
    <n v="100"/>
    <n v="45787547"/>
    <m/>
    <s v="2022-12-20T09:35:00"/>
    <s v="2022-12-20T09:35:00"/>
    <s v="system@alrashdeng.ae"/>
    <n v="1"/>
    <b v="1"/>
    <m/>
    <n v="0"/>
    <m/>
    <x v="0"/>
    <x v="0"/>
  </r>
  <r>
    <s v="PH-PRJ-095-03"/>
    <x v="94"/>
    <x v="2"/>
    <d v="2023-02-09T00:00:00"/>
    <d v="2023-04-11T00:00:00"/>
    <d v="2023-02-09T00:00:00"/>
    <d v="2023-04-11T00:00:00"/>
    <s v="Completed"/>
    <n v="100"/>
    <n v="54945056"/>
    <m/>
    <s v="2023-02-09T14:08:00"/>
    <s v="2023-02-09T14:08:00"/>
    <s v="system@alrashdeng.ae"/>
    <n v="1"/>
    <b v="1"/>
    <s v="Critical Phase"/>
    <n v="0"/>
    <m/>
    <x v="0"/>
    <x v="0"/>
  </r>
  <r>
    <s v="PH-PRJ-095-04"/>
    <x v="94"/>
    <x v="3"/>
    <d v="2023-04-11T00:00:00"/>
    <d v="2023-06-26T00:00:00"/>
    <d v="2023-04-11T00:00:00"/>
    <d v="2023-06-26T00:00:00"/>
    <s v="Completed"/>
    <n v="100"/>
    <n v="68681320"/>
    <m/>
    <s v="2023-04-11T10:57:00"/>
    <s v="2023-04-11T10:57:00"/>
    <s v="system@alrashdeng.ae"/>
    <n v="1"/>
    <b v="1"/>
    <m/>
    <n v="0"/>
    <m/>
    <x v="0"/>
    <x v="0"/>
  </r>
  <r>
    <s v="PH-PRJ-095-05"/>
    <x v="94"/>
    <x v="4"/>
    <d v="2023-06-26T00:00:00"/>
    <d v="2023-10-31T00:00:00"/>
    <d v="2023-06-26T00:00:00"/>
    <d v="2023-10-31T00:00:00"/>
    <s v="Completed"/>
    <n v="100"/>
    <n v="114468867"/>
    <m/>
    <s v="2023-06-26T17:40:00"/>
    <s v="2023-06-26T17:40:00"/>
    <s v="system@alrashdeng.ae"/>
    <n v="1"/>
    <b v="1"/>
    <s v="Critical Phase"/>
    <n v="0"/>
    <m/>
    <x v="0"/>
    <x v="0"/>
  </r>
  <r>
    <s v="PH-PRJ-095-06"/>
    <x v="94"/>
    <x v="5"/>
    <d v="2023-10-31T00:00:00"/>
    <d v="2023-12-21T00:00:00"/>
    <d v="2023-10-31T00:00:00"/>
    <d v="2023-12-21T00:00:00"/>
    <s v="Completed"/>
    <n v="100"/>
    <n v="45787547"/>
    <m/>
    <s v="2023-10-31T09:19:00"/>
    <s v="2023-10-31T09:19:00"/>
    <s v="system@alrashdeng.ae"/>
    <n v="1"/>
    <b v="1"/>
    <m/>
    <n v="0"/>
    <m/>
    <x v="0"/>
    <x v="0"/>
  </r>
  <r>
    <s v="PH-PRJ-095-07"/>
    <x v="94"/>
    <x v="6"/>
    <d v="2023-12-21T00:00:00"/>
    <d v="2024-01-30T00:00:00"/>
    <d v="2023-12-21T00:00:00"/>
    <d v="2024-01-30T00:00:00"/>
    <s v="Completed"/>
    <n v="100"/>
    <n v="36630037"/>
    <m/>
    <s v="2023-12-21T17:19:00"/>
    <s v="2023-12-21T17:19:00"/>
    <s v="system@alrashdeng.ae"/>
    <n v="1"/>
    <b v="1"/>
    <m/>
    <n v="0"/>
    <m/>
    <x v="0"/>
    <x v="0"/>
  </r>
  <r>
    <s v="PH-PRJ-095-08"/>
    <x v="94"/>
    <x v="7"/>
    <d v="2024-01-30T00:00:00"/>
    <d v="2024-03-21T00:00:00"/>
    <d v="2024-01-30T00:00:00"/>
    <d v="2024-03-21T00:00:00"/>
    <s v="Completed"/>
    <n v="100"/>
    <n v="45787547"/>
    <m/>
    <s v="2024-01-30T07:51:00"/>
    <s v="2024-01-30T07:51:00"/>
    <s v="system@alrashdeng.ae"/>
    <n v="1"/>
    <b v="1"/>
    <m/>
    <n v="0"/>
    <m/>
    <x v="0"/>
    <x v="0"/>
  </r>
  <r>
    <s v="PH-PRJ-095-09"/>
    <x v="94"/>
    <x v="8"/>
    <d v="2024-03-21T00:00:00"/>
    <d v="2024-04-05T00:00:00"/>
    <d v="2024-03-21T00:00:00"/>
    <d v="2024-04-05T00:00:00"/>
    <s v="Completed"/>
    <n v="100"/>
    <n v="13736264"/>
    <m/>
    <s v="2024-03-21T14:39:00"/>
    <s v="2024-03-21T14:39:00"/>
    <s v="system@alrashdeng.ae"/>
    <n v="1"/>
    <b v="1"/>
    <m/>
    <n v="0"/>
    <m/>
    <x v="0"/>
    <x v="0"/>
  </r>
  <r>
    <s v="PH-PRJ-095-10"/>
    <x v="94"/>
    <x v="9"/>
    <d v="2024-04-05T00:00:00"/>
    <d v="2024-04-15T00:00:00"/>
    <d v="2024-04-05T00:00:00"/>
    <d v="2024-04-15T00:00:00"/>
    <s v="Completed"/>
    <n v="100"/>
    <n v="9157509"/>
    <m/>
    <s v="2024-04-05T10:07:00"/>
    <s v="2024-04-05T10:07:00"/>
    <s v="system@alrashdeng.ae"/>
    <n v="1"/>
    <b v="1"/>
    <m/>
    <n v="0"/>
    <m/>
    <x v="0"/>
    <x v="0"/>
  </r>
  <r>
    <s v="PH-PRJ-096-01"/>
    <x v="95"/>
    <x v="0"/>
    <d v="2021-11-11T00:00:00"/>
    <d v="2021-12-21T00:00:00"/>
    <d v="2021-11-11T00:00:00"/>
    <d v="2021-12-21T00:00:00"/>
    <s v="Completed"/>
    <n v="100"/>
    <n v="10579339"/>
    <m/>
    <s v="2021-11-11T08:00:00"/>
    <s v="2021-11-11T08:00:00"/>
    <s v="system@alrashdeng.ae"/>
    <n v="1"/>
    <b v="1"/>
    <m/>
    <n v="0"/>
    <m/>
    <x v="0"/>
    <x v="0"/>
  </r>
  <r>
    <s v="PH-PRJ-096-02"/>
    <x v="95"/>
    <x v="1"/>
    <d v="2021-12-21T00:00:00"/>
    <d v="2022-03-12T00:00:00"/>
    <d v="2021-12-21T00:00:00"/>
    <d v="2022-03-12T00:00:00"/>
    <s v="Completed"/>
    <n v="100"/>
    <n v="21158679"/>
    <m/>
    <s v="2021-12-21T09:38:00"/>
    <s v="2021-12-21T09:38:00"/>
    <s v="system@alrashdeng.ae"/>
    <n v="1"/>
    <b v="1"/>
    <m/>
    <n v="0"/>
    <m/>
    <x v="0"/>
    <x v="0"/>
  </r>
  <r>
    <s v="PH-PRJ-096-03"/>
    <x v="95"/>
    <x v="2"/>
    <d v="2022-03-12T00:00:00"/>
    <d v="2022-06-17T00:00:00"/>
    <d v="2022-03-12T00:00:00"/>
    <d v="2022-06-17T00:00:00"/>
    <s v="Completed"/>
    <n v="100"/>
    <n v="25390415"/>
    <m/>
    <s v="2022-03-12T08:33:00"/>
    <s v="2022-03-12T08:33:00"/>
    <s v="system@alrashdeng.ae"/>
    <n v="1"/>
    <b v="1"/>
    <s v="Critical Phase"/>
    <n v="0"/>
    <m/>
    <x v="0"/>
    <x v="0"/>
  </r>
  <r>
    <s v="PH-PRJ-096-04"/>
    <x v="95"/>
    <x v="3"/>
    <d v="2022-06-17T00:00:00"/>
    <d v="2022-10-16T00:00:00"/>
    <d v="2022-06-17T00:00:00"/>
    <d v="2022-10-16T00:00:00"/>
    <s v="Completed"/>
    <n v="100"/>
    <n v="31738019"/>
    <m/>
    <s v="2022-06-17T08:15:00"/>
    <s v="2022-06-17T08:15:00"/>
    <s v="system@alrashdeng.ae"/>
    <n v="1"/>
    <b v="1"/>
    <m/>
    <n v="0"/>
    <m/>
    <x v="0"/>
    <x v="0"/>
  </r>
  <r>
    <s v="PH-PRJ-096-05"/>
    <x v="95"/>
    <x v="4"/>
    <d v="2022-10-16T00:00:00"/>
    <d v="2023-05-06T00:00:00"/>
    <d v="2022-10-16T00:00:00"/>
    <d v="2023-05-06T00:00:00"/>
    <s v="Completed"/>
    <n v="100"/>
    <n v="52896699"/>
    <m/>
    <s v="2022-10-16T10:06:00"/>
    <s v="2022-10-16T10:06:00"/>
    <s v="system@alrashdeng.ae"/>
    <n v="1"/>
    <b v="1"/>
    <s v="Critical Phase"/>
    <n v="0"/>
    <m/>
    <x v="0"/>
    <x v="0"/>
  </r>
  <r>
    <s v="PH-PRJ-096-06"/>
    <x v="95"/>
    <x v="5"/>
    <d v="2023-05-06T00:00:00"/>
    <d v="2023-07-26T00:00:00"/>
    <d v="2023-05-06T00:00:00"/>
    <d v="2023-07-26T00:00:00"/>
    <s v="Completed"/>
    <n v="100"/>
    <n v="21158679"/>
    <m/>
    <s v="2023-05-06T14:01:00"/>
    <s v="2023-05-06T14:01:00"/>
    <s v="system@alrashdeng.ae"/>
    <n v="1"/>
    <b v="1"/>
    <m/>
    <n v="0"/>
    <m/>
    <x v="0"/>
    <x v="0"/>
  </r>
  <r>
    <s v="PH-PRJ-096-07"/>
    <x v="95"/>
    <x v="6"/>
    <d v="2023-07-26T00:00:00"/>
    <d v="2023-09-28T00:00:00"/>
    <d v="2023-07-26T00:00:00"/>
    <d v="2023-09-28T00:00:00"/>
    <s v="Completed"/>
    <n v="100"/>
    <n v="16926943"/>
    <m/>
    <s v="2023-07-26T15:28:00"/>
    <s v="2023-07-26T15:28:00"/>
    <s v="system@alrashdeng.ae"/>
    <n v="1"/>
    <b v="1"/>
    <m/>
    <n v="0"/>
    <m/>
    <x v="0"/>
    <x v="0"/>
  </r>
  <r>
    <s v="PH-PRJ-096-08"/>
    <x v="95"/>
    <x v="7"/>
    <d v="2023-09-28T00:00:00"/>
    <d v="2023-12-18T00:00:00"/>
    <d v="2023-09-28T00:00:00"/>
    <d v="2023-12-18T00:00:00"/>
    <s v="Completed"/>
    <n v="100"/>
    <n v="21158679"/>
    <m/>
    <s v="2023-09-28T13:03:00"/>
    <s v="2023-09-28T13:03:00"/>
    <s v="system@alrashdeng.ae"/>
    <n v="1"/>
    <b v="1"/>
    <m/>
    <n v="0"/>
    <m/>
    <x v="0"/>
    <x v="0"/>
  </r>
  <r>
    <s v="PH-PRJ-096-09"/>
    <x v="95"/>
    <x v="8"/>
    <d v="2023-12-18T00:00:00"/>
    <d v="2024-01-11T00:00:00"/>
    <d v="2023-12-18T00:00:00"/>
    <d v="2024-01-11T00:00:00"/>
    <s v="Completed"/>
    <n v="100"/>
    <n v="6347603"/>
    <m/>
    <s v="2023-12-18T08:19:00"/>
    <s v="2023-12-18T08:19:00"/>
    <s v="system@alrashdeng.ae"/>
    <n v="1"/>
    <b v="1"/>
    <m/>
    <n v="0"/>
    <m/>
    <x v="0"/>
    <x v="0"/>
  </r>
  <r>
    <s v="PH-PRJ-096-10"/>
    <x v="95"/>
    <x v="9"/>
    <d v="2024-01-11T00:00:00"/>
    <d v="2024-01-27T00:00:00"/>
    <d v="2024-01-11T00:00:00"/>
    <d v="2024-01-27T00:00:00"/>
    <s v="Completed"/>
    <n v="100"/>
    <n v="4231735"/>
    <m/>
    <s v="2024-01-11T13:30:00"/>
    <s v="2024-01-11T13:30:00"/>
    <s v="system@alrashdeng.ae"/>
    <n v="1"/>
    <b v="1"/>
    <m/>
    <n v="0"/>
    <m/>
    <x v="0"/>
    <x v="0"/>
  </r>
  <r>
    <s v="PH-PRJ-097-01"/>
    <x v="96"/>
    <x v="0"/>
    <d v="2022-03-23T00:00:00"/>
    <d v="2022-05-08T00:00:00"/>
    <d v="2022-03-23T00:00:00"/>
    <d v="2022-05-08T00:00:00"/>
    <s v="Completed"/>
    <n v="100"/>
    <n v="8922161"/>
    <m/>
    <s v="2022-03-23T09:52:00"/>
    <s v="2022-03-23T09:52:00"/>
    <s v="system@alrashdeng.ae"/>
    <n v="1"/>
    <b v="1"/>
    <m/>
    <n v="0"/>
    <m/>
    <x v="0"/>
    <x v="0"/>
  </r>
  <r>
    <s v="PH-PRJ-097-02"/>
    <x v="96"/>
    <x v="1"/>
    <d v="2022-05-08T00:00:00"/>
    <d v="2022-08-09T00:00:00"/>
    <d v="2022-05-08T00:00:00"/>
    <d v="2022-08-09T00:00:00"/>
    <s v="Completed"/>
    <n v="100"/>
    <n v="17844322"/>
    <m/>
    <s v="2022-05-08T10:53:00"/>
    <s v="2022-05-08T10:53:00"/>
    <s v="system@alrashdeng.ae"/>
    <n v="1"/>
    <b v="1"/>
    <m/>
    <n v="0"/>
    <m/>
    <x v="0"/>
    <x v="0"/>
  </r>
  <r>
    <s v="PH-PRJ-097-03"/>
    <x v="96"/>
    <x v="2"/>
    <d v="2022-08-09T00:00:00"/>
    <d v="2022-11-28T00:00:00"/>
    <d v="2022-08-09T00:00:00"/>
    <d v="2022-11-28T00:00:00"/>
    <s v="Completed"/>
    <n v="100"/>
    <n v="21413187"/>
    <m/>
    <s v="2022-08-09T15:16:00"/>
    <s v="2022-08-09T15:16:00"/>
    <s v="system@alrashdeng.ae"/>
    <n v="1"/>
    <b v="1"/>
    <s v="Critical Phase"/>
    <n v="0"/>
    <m/>
    <x v="0"/>
    <x v="0"/>
  </r>
  <r>
    <s v="PH-PRJ-097-04"/>
    <x v="96"/>
    <x v="3"/>
    <d v="2022-11-28T00:00:00"/>
    <d v="2023-04-16T00:00:00"/>
    <d v="2022-11-28T00:00:00"/>
    <d v="2023-04-16T00:00:00"/>
    <s v="Completed"/>
    <n v="100"/>
    <n v="26766484"/>
    <m/>
    <s v="2022-11-28T16:43:00"/>
    <s v="2022-11-28T16:43:00"/>
    <s v="system@alrashdeng.ae"/>
    <n v="1"/>
    <b v="1"/>
    <m/>
    <n v="0"/>
    <m/>
    <x v="0"/>
    <x v="0"/>
  </r>
  <r>
    <s v="PH-PRJ-097-05"/>
    <x v="96"/>
    <x v="4"/>
    <d v="2023-04-16T00:00:00"/>
    <d v="2023-12-04T00:00:00"/>
    <d v="2023-04-16T00:00:00"/>
    <d v="2023-12-04T00:00:00"/>
    <s v="Completed"/>
    <n v="100"/>
    <n v="44610807"/>
    <m/>
    <s v="2023-04-16T14:54:00"/>
    <s v="2023-04-16T14:54:00"/>
    <s v="system@alrashdeng.ae"/>
    <n v="1"/>
    <b v="1"/>
    <s v="Critical Phase"/>
    <n v="0"/>
    <m/>
    <x v="0"/>
    <x v="0"/>
  </r>
  <r>
    <s v="PH-PRJ-097-06"/>
    <x v="96"/>
    <x v="5"/>
    <d v="2023-12-04T00:00:00"/>
    <d v="2024-03-06T00:00:00"/>
    <d v="2023-12-04T00:00:00"/>
    <d v="2024-03-06T00:00:00"/>
    <s v="Completed"/>
    <n v="100"/>
    <n v="17844322"/>
    <m/>
    <s v="2023-12-04T17:39:00"/>
    <s v="2023-12-04T17:39:00"/>
    <s v="system@alrashdeng.ae"/>
    <n v="1"/>
    <b v="1"/>
    <m/>
    <n v="0"/>
    <m/>
    <x v="0"/>
    <x v="0"/>
  </r>
  <r>
    <s v="PH-PRJ-097-07"/>
    <x v="96"/>
    <x v="6"/>
    <d v="2024-03-06T00:00:00"/>
    <d v="2024-05-19T00:00:00"/>
    <d v="2024-03-06T00:00:00"/>
    <d v="2024-05-19T00:00:00"/>
    <s v="Completed"/>
    <n v="100"/>
    <n v="14275458"/>
    <m/>
    <s v="2024-03-06T08:27:00"/>
    <s v="2024-03-06T08:27:00"/>
    <s v="system@alrashdeng.ae"/>
    <n v="1"/>
    <b v="1"/>
    <m/>
    <n v="0"/>
    <m/>
    <x v="0"/>
    <x v="0"/>
  </r>
  <r>
    <s v="PH-PRJ-097-08"/>
    <x v="96"/>
    <x v="7"/>
    <d v="2024-05-19T00:00:00"/>
    <d v="2024-08-20T00:00:00"/>
    <d v="2024-05-19T00:00:00"/>
    <d v="2024-08-20T00:00:00"/>
    <s v="Completed"/>
    <n v="100"/>
    <n v="17844322"/>
    <m/>
    <s v="2024-05-19T09:40:00"/>
    <s v="2024-05-19T09:40:00"/>
    <s v="system@alrashdeng.ae"/>
    <n v="1"/>
    <b v="1"/>
    <m/>
    <n v="0"/>
    <m/>
    <x v="0"/>
    <x v="0"/>
  </r>
  <r>
    <s v="PH-PRJ-097-09"/>
    <x v="96"/>
    <x v="8"/>
    <d v="2024-08-20T00:00:00"/>
    <d v="2024-09-16T00:00:00"/>
    <d v="2024-08-20T00:00:00"/>
    <d v="2024-09-16T00:00:00"/>
    <s v="Completed"/>
    <n v="100"/>
    <n v="5353296"/>
    <m/>
    <s v="2024-08-20T07:11:00"/>
    <s v="2024-08-20T07:11:00"/>
    <s v="system@alrashdeng.ae"/>
    <n v="1"/>
    <b v="1"/>
    <m/>
    <n v="0"/>
    <m/>
    <x v="0"/>
    <x v="0"/>
  </r>
  <r>
    <s v="PH-PRJ-097-10"/>
    <x v="96"/>
    <x v="9"/>
    <d v="2024-09-16T00:00:00"/>
    <d v="2024-10-04T00:00:00"/>
    <d v="2024-09-16T00:00:00"/>
    <d v="2024-10-04T00:00:00"/>
    <s v="Completed"/>
    <n v="100"/>
    <n v="3568864"/>
    <m/>
    <s v="2024-09-16T09:52:00"/>
    <s v="2024-09-16T09:52:00"/>
    <s v="system@alrashdeng.ae"/>
    <n v="1"/>
    <b v="1"/>
    <m/>
    <n v="0"/>
    <m/>
    <x v="0"/>
    <x v="0"/>
  </r>
  <r>
    <s v="PH-PRJ-098-01"/>
    <x v="97"/>
    <x v="0"/>
    <d v="2022-01-27T00:00:00"/>
    <d v="2022-03-05T00:00:00"/>
    <d v="2022-01-27T00:00:00"/>
    <d v="2022-03-05T00:00:00"/>
    <s v="Completed"/>
    <n v="100"/>
    <n v="3281400"/>
    <m/>
    <s v="2022-01-27T17:15:00"/>
    <s v="2022-01-27T17:15:00"/>
    <s v="system@alrashdeng.ae"/>
    <n v="1"/>
    <b v="1"/>
    <m/>
    <n v="0"/>
    <m/>
    <x v="0"/>
    <x v="0"/>
  </r>
  <r>
    <s v="PH-PRJ-098-02"/>
    <x v="97"/>
    <x v="1"/>
    <d v="2022-03-05T00:00:00"/>
    <d v="2022-05-19T00:00:00"/>
    <d v="2022-03-05T00:00:00"/>
    <d v="2022-05-19T00:00:00"/>
    <s v="Completed"/>
    <n v="100"/>
    <n v="6562800"/>
    <m/>
    <s v="2022-03-05T09:32:00"/>
    <s v="2022-03-05T09:32:00"/>
    <s v="system@alrashdeng.ae"/>
    <n v="1"/>
    <b v="1"/>
    <m/>
    <n v="0"/>
    <m/>
    <x v="0"/>
    <x v="0"/>
  </r>
  <r>
    <s v="PH-PRJ-098-03"/>
    <x v="97"/>
    <x v="2"/>
    <d v="2022-05-19T00:00:00"/>
    <d v="2022-08-17T00:00:00"/>
    <d v="2022-05-19T00:00:00"/>
    <d v="2022-08-17T00:00:00"/>
    <s v="Completed"/>
    <n v="100"/>
    <n v="7875360"/>
    <m/>
    <s v="2022-05-19T15:12:00"/>
    <s v="2022-05-19T15:12:00"/>
    <s v="system@alrashdeng.ae"/>
    <n v="1"/>
    <b v="1"/>
    <s v="Critical Phase"/>
    <n v="0"/>
    <m/>
    <x v="0"/>
    <x v="0"/>
  </r>
  <r>
    <s v="PH-PRJ-098-04"/>
    <x v="97"/>
    <x v="3"/>
    <d v="2022-08-17T00:00:00"/>
    <d v="2022-12-07T00:00:00"/>
    <d v="2022-08-17T00:00:00"/>
    <d v="2022-12-07T00:00:00"/>
    <s v="Completed"/>
    <n v="100"/>
    <n v="9844200"/>
    <m/>
    <s v="2022-08-17T14:30:00"/>
    <s v="2022-08-17T14:30:00"/>
    <s v="system@alrashdeng.ae"/>
    <n v="1"/>
    <b v="1"/>
    <m/>
    <n v="0"/>
    <m/>
    <x v="0"/>
    <x v="0"/>
  </r>
  <r>
    <s v="PH-PRJ-098-05"/>
    <x v="97"/>
    <x v="4"/>
    <d v="2022-12-07T00:00:00"/>
    <d v="2023-06-12T00:00:00"/>
    <d v="2022-12-07T00:00:00"/>
    <d v="2023-06-12T00:00:00"/>
    <s v="Completed"/>
    <n v="100"/>
    <n v="16407001"/>
    <m/>
    <s v="2022-12-07T11:18:00"/>
    <s v="2022-12-07T11:18:00"/>
    <s v="system@alrashdeng.ae"/>
    <n v="1"/>
    <b v="1"/>
    <s v="Critical Phase"/>
    <n v="0"/>
    <m/>
    <x v="0"/>
    <x v="0"/>
  </r>
  <r>
    <s v="PH-PRJ-098-06"/>
    <x v="97"/>
    <x v="5"/>
    <d v="2023-06-12T00:00:00"/>
    <d v="2023-08-26T00:00:00"/>
    <d v="2023-06-12T00:00:00"/>
    <d v="2023-08-26T00:00:00"/>
    <s v="Completed"/>
    <n v="100"/>
    <n v="6562800"/>
    <m/>
    <s v="2023-06-12T17:06:00"/>
    <s v="2023-06-12T17:06:00"/>
    <s v="system@alrashdeng.ae"/>
    <n v="1"/>
    <b v="1"/>
    <m/>
    <n v="0"/>
    <m/>
    <x v="0"/>
    <x v="0"/>
  </r>
  <r>
    <s v="PH-PRJ-098-07"/>
    <x v="97"/>
    <x v="6"/>
    <d v="2023-08-26T00:00:00"/>
    <d v="2023-10-25T00:00:00"/>
    <d v="2023-08-26T00:00:00"/>
    <d v="2023-10-25T00:00:00"/>
    <s v="Completed"/>
    <n v="100"/>
    <n v="5250240"/>
    <m/>
    <s v="2023-08-26T16:31:00"/>
    <s v="2023-08-26T16:31:00"/>
    <s v="system@alrashdeng.ae"/>
    <n v="1"/>
    <b v="1"/>
    <m/>
    <n v="0"/>
    <m/>
    <x v="0"/>
    <x v="0"/>
  </r>
  <r>
    <s v="PH-PRJ-098-08"/>
    <x v="97"/>
    <x v="7"/>
    <d v="2023-10-25T00:00:00"/>
    <d v="2024-01-08T00:00:00"/>
    <d v="2023-10-25T00:00:00"/>
    <d v="2024-01-08T00:00:00"/>
    <s v="Completed"/>
    <n v="100"/>
    <n v="6562800"/>
    <m/>
    <s v="2023-10-25T12:42:00"/>
    <s v="2023-10-25T12:42:00"/>
    <s v="system@alrashdeng.ae"/>
    <n v="1"/>
    <b v="1"/>
    <m/>
    <n v="0"/>
    <m/>
    <x v="0"/>
    <x v="0"/>
  </r>
  <r>
    <s v="PH-PRJ-098-09"/>
    <x v="97"/>
    <x v="8"/>
    <d v="2024-01-08T00:00:00"/>
    <d v="2024-01-30T00:00:00"/>
    <d v="2024-01-08T00:00:00"/>
    <d v="2024-01-30T00:00:00"/>
    <s v="Completed"/>
    <n v="100"/>
    <n v="1968840"/>
    <m/>
    <s v="2024-01-08T11:25:00"/>
    <s v="2024-01-08T11:25:00"/>
    <s v="system@alrashdeng.ae"/>
    <n v="1"/>
    <b v="1"/>
    <m/>
    <n v="0"/>
    <m/>
    <x v="0"/>
    <x v="0"/>
  </r>
  <r>
    <s v="PH-PRJ-098-10"/>
    <x v="97"/>
    <x v="9"/>
    <d v="2024-01-30T00:00:00"/>
    <d v="2024-02-14T00:00:00"/>
    <d v="2024-01-30T00:00:00"/>
    <d v="2024-02-14T00:00:00"/>
    <s v="Completed"/>
    <n v="100"/>
    <n v="1312560"/>
    <m/>
    <s v="2024-01-30T13:44:00"/>
    <s v="2024-01-30T13:44:00"/>
    <s v="system@alrashdeng.ae"/>
    <n v="1"/>
    <b v="1"/>
    <m/>
    <n v="0"/>
    <m/>
    <x v="0"/>
    <x v="0"/>
  </r>
  <r>
    <s v="PH-PRJ-099-01"/>
    <x v="98"/>
    <x v="0"/>
    <d v="2022-08-18T00:00:00"/>
    <d v="2022-10-20T00:00:00"/>
    <d v="2022-08-18T00:00:00"/>
    <d v="2022-10-20T00:00:00"/>
    <s v="Completed"/>
    <n v="100"/>
    <n v="18729272"/>
    <m/>
    <s v="2022-08-18T08:29:00"/>
    <s v="2022-08-18T08:29:00"/>
    <s v="system@alrashdeng.ae"/>
    <n v="1"/>
    <b v="1"/>
    <m/>
    <n v="0"/>
    <m/>
    <x v="0"/>
    <x v="0"/>
  </r>
  <r>
    <s v="PH-PRJ-099-02"/>
    <x v="98"/>
    <x v="1"/>
    <d v="2022-10-20T00:00:00"/>
    <d v="2023-02-23T00:00:00"/>
    <d v="2022-10-20T00:00:00"/>
    <d v="2023-02-23T00:00:00"/>
    <s v="Completed"/>
    <n v="100"/>
    <n v="37458544"/>
    <m/>
    <s v="2022-10-20T13:52:00"/>
    <s v="2022-10-20T13:52:00"/>
    <s v="system@alrashdeng.ae"/>
    <n v="1"/>
    <b v="1"/>
    <m/>
    <n v="0"/>
    <m/>
    <x v="0"/>
    <x v="0"/>
  </r>
  <r>
    <s v="PH-PRJ-099-03"/>
    <x v="98"/>
    <x v="2"/>
    <d v="2023-02-23T00:00:00"/>
    <d v="2023-07-24T00:00:00"/>
    <d v="2023-02-23T00:00:00"/>
    <d v="2023-07-24T00:00:00"/>
    <s v="Completed"/>
    <n v="100"/>
    <n v="44950253"/>
    <m/>
    <s v="2023-02-23T13:09:00"/>
    <s v="2023-02-23T13:09:00"/>
    <s v="system@alrashdeng.ae"/>
    <n v="1"/>
    <b v="1"/>
    <s v="Critical Phase"/>
    <n v="0"/>
    <m/>
    <x v="0"/>
    <x v="0"/>
  </r>
  <r>
    <s v="PH-PRJ-099-04"/>
    <x v="98"/>
    <x v="3"/>
    <d v="2023-07-24T00:00:00"/>
    <d v="2024-01-29T00:00:00"/>
    <d v="2023-07-24T00:00:00"/>
    <d v="2024-01-29T00:00:00"/>
    <s v="Completed"/>
    <n v="100"/>
    <n v="56187816"/>
    <m/>
    <s v="2023-07-24T07:18:00"/>
    <s v="2023-07-24T07:18:00"/>
    <s v="system@alrashdeng.ae"/>
    <n v="1"/>
    <b v="1"/>
    <m/>
    <n v="0"/>
    <m/>
    <x v="0"/>
    <x v="0"/>
  </r>
  <r>
    <s v="PH-PRJ-099-05"/>
    <x v="98"/>
    <x v="4"/>
    <d v="2024-01-29T00:00:00"/>
    <d v="2024-12-09T00:00:00"/>
    <d v="2024-01-29T00:00:00"/>
    <d v="2024-12-09T00:00:00"/>
    <s v="Completed"/>
    <n v="100"/>
    <n v="93646361"/>
    <m/>
    <s v="2024-01-29T14:07:00"/>
    <s v="2024-01-29T14:07:00"/>
    <s v="system@alrashdeng.ae"/>
    <n v="1"/>
    <b v="1"/>
    <s v="Critical Phase"/>
    <n v="0"/>
    <m/>
    <x v="0"/>
    <x v="0"/>
  </r>
  <r>
    <s v="PH-PRJ-099-06"/>
    <x v="98"/>
    <x v="5"/>
    <d v="2024-12-09T00:00:00"/>
    <d v="2025-04-14T00:00:00"/>
    <d v="2024-12-09T00:00:00"/>
    <d v="2025-04-14T00:00:00"/>
    <s v="Completed"/>
    <n v="100"/>
    <n v="37458544"/>
    <m/>
    <s v="2024-12-09T16:24:00"/>
    <s v="2024-12-09T16:24:00"/>
    <s v="system@alrashdeng.ae"/>
    <n v="1"/>
    <b v="1"/>
    <m/>
    <n v="0"/>
    <m/>
    <x v="0"/>
    <x v="0"/>
  </r>
  <r>
    <s v="PH-PRJ-099-07"/>
    <x v="98"/>
    <x v="6"/>
    <d v="2025-04-14T00:00:00"/>
    <d v="2025-07-23T00:00:00"/>
    <d v="2025-04-14T00:00:00"/>
    <d v="2025-07-23T00:00:00"/>
    <s v="Completed"/>
    <n v="100"/>
    <n v="29966835"/>
    <m/>
    <s v="2025-04-14T07:37:00"/>
    <s v="2025-04-14T07:37:00"/>
    <s v="system@alrashdeng.ae"/>
    <n v="1"/>
    <b v="1"/>
    <m/>
    <n v="0"/>
    <m/>
    <x v="0"/>
    <x v="0"/>
  </r>
  <r>
    <s v="PH-PRJ-099-08"/>
    <x v="98"/>
    <x v="7"/>
    <d v="2025-07-23T00:00:00"/>
    <d v="2025-11-26T00:00:00"/>
    <d v="2025-07-23T00:00:00"/>
    <d v="2025-11-26T00:00:00"/>
    <s v="Completed"/>
    <n v="100"/>
    <n v="37458544"/>
    <m/>
    <s v="2025-07-23T11:02:00"/>
    <s v="2025-07-23T11:02:00"/>
    <s v="system@alrashdeng.ae"/>
    <n v="1"/>
    <b v="1"/>
    <m/>
    <n v="0"/>
    <m/>
    <x v="0"/>
    <x v="0"/>
  </r>
  <r>
    <s v="PH-PRJ-099-09"/>
    <x v="98"/>
    <x v="8"/>
    <d v="2025-11-26T00:00:00"/>
    <d v="2026-01-02T00:00:00"/>
    <d v="2025-11-26T00:00:00"/>
    <d v="2026-01-02T00:00:00"/>
    <s v="Completed"/>
    <n v="100"/>
    <n v="11237563"/>
    <m/>
    <s v="2025-11-26T17:41:00"/>
    <s v="2025-11-26T17:41:00"/>
    <s v="system@alrashdeng.ae"/>
    <n v="1"/>
    <b v="1"/>
    <m/>
    <n v="0"/>
    <m/>
    <x v="0"/>
    <x v="0"/>
  </r>
  <r>
    <s v="PH-PRJ-099-10"/>
    <x v="98"/>
    <x v="9"/>
    <d v="2026-01-02T00:00:00"/>
    <d v="2026-01-27T00:00:00"/>
    <d v="2026-01-02T00:00:00"/>
    <d v="2026-01-27T00:00:00"/>
    <s v="Completed"/>
    <n v="100"/>
    <n v="7491708"/>
    <m/>
    <s v="2026-01-02T17:39:00"/>
    <s v="2026-01-02T17:39:00"/>
    <s v="system@alrashdeng.ae"/>
    <n v="1"/>
    <b v="1"/>
    <m/>
    <n v="0"/>
    <m/>
    <x v="0"/>
    <x v="0"/>
  </r>
  <r>
    <s v="PH-PRJ-100-01"/>
    <x v="99"/>
    <x v="0"/>
    <d v="2023-04-19T00:00:00"/>
    <d v="2023-05-20T00:00:00"/>
    <d v="2023-04-19T00:00:00"/>
    <d v="2023-05-20T00:00:00"/>
    <s v="Completed"/>
    <n v="100"/>
    <n v="19076133"/>
    <m/>
    <s v="2023-04-19T14:02:00"/>
    <s v="2023-04-19T14:02:00"/>
    <s v="system@alrashdeng.ae"/>
    <n v="1"/>
    <b v="1"/>
    <m/>
    <n v="0"/>
    <m/>
    <x v="0"/>
    <x v="0"/>
  </r>
  <r>
    <s v="PH-PRJ-100-02"/>
    <x v="99"/>
    <x v="1"/>
    <d v="2023-05-20T00:00:00"/>
    <d v="2023-07-22T00:00:00"/>
    <d v="2023-05-20T00:00:00"/>
    <d v="2023-07-22T00:00:00"/>
    <s v="Completed"/>
    <n v="100"/>
    <n v="38152267"/>
    <m/>
    <s v="2023-05-20T12:08:00"/>
    <s v="2023-05-20T12:08:00"/>
    <s v="system@alrashdeng.ae"/>
    <n v="1"/>
    <b v="1"/>
    <m/>
    <n v="0"/>
    <m/>
    <x v="0"/>
    <x v="0"/>
  </r>
  <r>
    <s v="PH-PRJ-100-03"/>
    <x v="99"/>
    <x v="2"/>
    <d v="2023-07-22T00:00:00"/>
    <d v="2023-10-05T00:00:00"/>
    <d v="2023-07-22T00:00:00"/>
    <d v="2023-10-05T00:00:00"/>
    <s v="Completed"/>
    <n v="100"/>
    <n v="45782721"/>
    <m/>
    <s v="2023-07-22T14:56:00"/>
    <s v="2023-07-22T14:56:00"/>
    <s v="system@alrashdeng.ae"/>
    <n v="1"/>
    <b v="1"/>
    <s v="Critical Phase"/>
    <n v="0"/>
    <m/>
    <x v="0"/>
    <x v="0"/>
  </r>
  <r>
    <s v="PH-PRJ-100-04"/>
    <x v="99"/>
    <x v="3"/>
    <d v="2023-10-05T00:00:00"/>
    <d v="2024-01-07T00:00:00"/>
    <d v="2023-10-05T00:00:00"/>
    <d v="2024-01-07T00:00:00"/>
    <s v="Completed"/>
    <n v="100"/>
    <n v="57228401"/>
    <m/>
    <s v="2023-10-05T14:17:00"/>
    <s v="2023-10-05T14:17:00"/>
    <s v="system@alrashdeng.ae"/>
    <n v="1"/>
    <b v="1"/>
    <m/>
    <n v="0"/>
    <m/>
    <x v="0"/>
    <x v="0"/>
  </r>
  <r>
    <s v="PH-PRJ-100-05"/>
    <x v="99"/>
    <x v="4"/>
    <d v="2024-01-07T00:00:00"/>
    <d v="2024-06-12T00:00:00"/>
    <d v="2024-01-07T00:00:00"/>
    <d v="2024-06-12T00:00:00"/>
    <s v="Completed"/>
    <n v="100"/>
    <n v="95380669"/>
    <m/>
    <s v="2024-01-07T07:10:00"/>
    <s v="2024-01-07T07:10:00"/>
    <s v="system@alrashdeng.ae"/>
    <n v="1"/>
    <b v="1"/>
    <s v="Critical Phase"/>
    <n v="0"/>
    <m/>
    <x v="0"/>
    <x v="0"/>
  </r>
  <r>
    <s v="PH-PRJ-100-06"/>
    <x v="99"/>
    <x v="5"/>
    <d v="2024-06-12T00:00:00"/>
    <d v="2024-08-14T00:00:00"/>
    <d v="2024-06-12T00:00:00"/>
    <d v="2024-08-14T00:00:00"/>
    <s v="Completed"/>
    <n v="100"/>
    <n v="38152267"/>
    <m/>
    <s v="2024-06-12T12:32:00"/>
    <s v="2024-06-12T12:32:00"/>
    <s v="system@alrashdeng.ae"/>
    <n v="1"/>
    <b v="1"/>
    <m/>
    <n v="0"/>
    <m/>
    <x v="0"/>
    <x v="0"/>
  </r>
  <r>
    <s v="PH-PRJ-100-07"/>
    <x v="99"/>
    <x v="6"/>
    <d v="2024-08-14T00:00:00"/>
    <d v="2024-10-03T00:00:00"/>
    <d v="2024-08-14T00:00:00"/>
    <d v="2024-10-03T00:00:00"/>
    <s v="Completed"/>
    <n v="100"/>
    <n v="30521814"/>
    <m/>
    <s v="2024-08-14T15:13:00"/>
    <s v="2024-08-14T15:13:00"/>
    <s v="system@alrashdeng.ae"/>
    <n v="1"/>
    <b v="1"/>
    <m/>
    <n v="0"/>
    <m/>
    <x v="0"/>
    <x v="0"/>
  </r>
  <r>
    <s v="PH-PRJ-100-08"/>
    <x v="99"/>
    <x v="7"/>
    <d v="2024-10-03T00:00:00"/>
    <d v="2024-12-05T00:00:00"/>
    <d v="2024-10-03T00:00:00"/>
    <d v="2024-12-05T00:00:00"/>
    <s v="Completed"/>
    <n v="100"/>
    <n v="38152267"/>
    <m/>
    <s v="2024-10-03T12:57:00"/>
    <s v="2024-10-03T12:57:00"/>
    <s v="system@alrashdeng.ae"/>
    <n v="1"/>
    <b v="1"/>
    <m/>
    <n v="0"/>
    <m/>
    <x v="0"/>
    <x v="0"/>
  </r>
  <r>
    <s v="PH-PRJ-100-09"/>
    <x v="99"/>
    <x v="8"/>
    <d v="2024-12-05T00:00:00"/>
    <d v="2024-12-23T00:00:00"/>
    <d v="2024-12-05T00:00:00"/>
    <d v="2024-12-23T00:00:00"/>
    <s v="Completed"/>
    <n v="100"/>
    <n v="11445680"/>
    <m/>
    <s v="2024-12-05T15:24:00"/>
    <s v="2024-12-05T15:24:00"/>
    <s v="system@alrashdeng.ae"/>
    <n v="1"/>
    <b v="1"/>
    <m/>
    <n v="0"/>
    <m/>
    <x v="0"/>
    <x v="0"/>
  </r>
  <r>
    <s v="PH-PRJ-100-10"/>
    <x v="99"/>
    <x v="9"/>
    <d v="2024-12-23T00:00:00"/>
    <d v="2025-01-04T00:00:00"/>
    <d v="2024-12-23T00:00:00"/>
    <d v="2025-01-04T00:00:00"/>
    <s v="Completed"/>
    <n v="100"/>
    <n v="7630453"/>
    <m/>
    <s v="2024-12-23T15:04:00"/>
    <s v="2024-12-23T15:04:00"/>
    <s v="system@alrashdeng.ae"/>
    <n v="1"/>
    <b v="1"/>
    <m/>
    <n v="0"/>
    <m/>
    <x v="0"/>
    <x v="0"/>
  </r>
  <r>
    <m/>
    <x v="100"/>
    <x v="10"/>
    <m/>
    <m/>
    <m/>
    <m/>
    <m/>
    <m/>
    <m/>
    <m/>
    <m/>
    <m/>
    <m/>
    <m/>
    <m/>
    <m/>
    <m/>
    <m/>
    <x v="2"/>
    <x v="5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3E1924-D7A6-49F4-9C0B-A5D50D989C76}" name="PivotTable3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30" firstHeaderRow="1" firstDataRow="1" firstDataCol="1" rowPageCount="1" colPageCount="1"/>
  <pivotFields count="21">
    <pivotField showAll="0"/>
    <pivotField axis="axisRow" showAll="0" sortType="descending">
      <items count="1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dataField="1" showAll="0">
      <items count="4">
        <item x="0"/>
        <item x="1"/>
        <item x="2"/>
        <item t="default"/>
      </items>
    </pivotField>
    <pivotField showAll="0"/>
  </pivotFields>
  <rowFields count="1">
    <field x="1"/>
  </rowFields>
  <rowItems count="27">
    <i>
      <x v="66"/>
    </i>
    <i>
      <x v="18"/>
    </i>
    <i>
      <x v="80"/>
    </i>
    <i>
      <x v="63"/>
    </i>
    <i>
      <x v="90"/>
    </i>
    <i>
      <x v="5"/>
    </i>
    <i>
      <x v="46"/>
    </i>
    <i>
      <x v="11"/>
    </i>
    <i>
      <x v="42"/>
    </i>
    <i>
      <x v="34"/>
    </i>
    <i>
      <x v="87"/>
    </i>
    <i>
      <x v="41"/>
    </i>
    <i>
      <x v="43"/>
    </i>
    <i>
      <x/>
    </i>
    <i>
      <x v="82"/>
    </i>
    <i>
      <x v="73"/>
    </i>
    <i>
      <x v="22"/>
    </i>
    <i>
      <x v="52"/>
    </i>
    <i>
      <x v="39"/>
    </i>
    <i>
      <x v="88"/>
    </i>
    <i>
      <x v="51"/>
    </i>
    <i>
      <x v="59"/>
    </i>
    <i>
      <x v="89"/>
    </i>
    <i>
      <x v="61"/>
    </i>
    <i>
      <x v="68"/>
    </i>
    <i>
      <x v="62"/>
    </i>
    <i t="grand">
      <x/>
    </i>
  </rowItems>
  <colItems count="1">
    <i/>
  </colItems>
  <pageFields count="1">
    <pageField fld="19" item="1" hier="-1"/>
  </pageFields>
  <dataFields count="1">
    <dataField name="Sum of Overdue_Phase" fld="1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7F5884-101A-43D0-A971-158F63865083}" name="PivotTable4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5" firstHeaderRow="1" firstDataRow="1" firstDataCol="1"/>
  <pivotFields count="21">
    <pivotField showAll="0"/>
    <pivotField showAll="0"/>
    <pivotField axis="axisRow" showAll="0">
      <items count="12">
        <item x="0"/>
        <item x="1"/>
        <item x="6"/>
        <item x="7"/>
        <item x="9"/>
        <item x="5"/>
        <item x="2"/>
        <item x="3"/>
        <item x="4"/>
        <item x="8"/>
        <item x="1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2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um of Overdue_Phase" fld="1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E6C81E-1FB7-4676-A288-0EC778219A20}" name="PivotTable5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31" firstHeaderRow="1" firstDataRow="1" firstDataCol="1" rowPageCount="1" colPageCount="1"/>
  <pivotFields count="21">
    <pivotField showAll="0"/>
    <pivotField axis="axisRow" showAll="0">
      <items count="1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dataField="1" multipleItemSelectionAllowed="1" showAll="0">
      <items count="59">
        <item h="1" x="0"/>
        <item x="53"/>
        <item x="23"/>
        <item x="48"/>
        <item x="21"/>
        <item x="56"/>
        <item x="2"/>
        <item x="44"/>
        <item x="14"/>
        <item x="52"/>
        <item x="51"/>
        <item x="12"/>
        <item x="20"/>
        <item x="11"/>
        <item x="33"/>
        <item x="50"/>
        <item x="30"/>
        <item x="5"/>
        <item x="8"/>
        <item x="47"/>
        <item x="55"/>
        <item x="32"/>
        <item x="10"/>
        <item x="37"/>
        <item x="22"/>
        <item x="42"/>
        <item x="7"/>
        <item x="41"/>
        <item x="4"/>
        <item x="36"/>
        <item x="49"/>
        <item x="46"/>
        <item x="40"/>
        <item x="43"/>
        <item x="1"/>
        <item x="35"/>
        <item x="26"/>
        <item x="6"/>
        <item x="3"/>
        <item x="13"/>
        <item x="25"/>
        <item x="29"/>
        <item x="54"/>
        <item x="39"/>
        <item x="18"/>
        <item x="9"/>
        <item x="28"/>
        <item x="24"/>
        <item x="17"/>
        <item x="45"/>
        <item x="27"/>
        <item x="16"/>
        <item x="38"/>
        <item x="19"/>
        <item x="34"/>
        <item x="31"/>
        <item x="15"/>
        <item x="57"/>
        <item t="default"/>
      </items>
    </pivotField>
  </pivotFields>
  <rowFields count="1">
    <field x="1"/>
  </rowFields>
  <rowItems count="28">
    <i>
      <x/>
    </i>
    <i>
      <x v="5"/>
    </i>
    <i>
      <x v="11"/>
    </i>
    <i>
      <x v="18"/>
    </i>
    <i>
      <x v="22"/>
    </i>
    <i>
      <x v="34"/>
    </i>
    <i>
      <x v="39"/>
    </i>
    <i>
      <x v="41"/>
    </i>
    <i>
      <x v="42"/>
    </i>
    <i>
      <x v="43"/>
    </i>
    <i>
      <x v="46"/>
    </i>
    <i>
      <x v="51"/>
    </i>
    <i>
      <x v="52"/>
    </i>
    <i>
      <x v="59"/>
    </i>
    <i>
      <x v="61"/>
    </i>
    <i>
      <x v="62"/>
    </i>
    <i>
      <x v="63"/>
    </i>
    <i>
      <x v="66"/>
    </i>
    <i>
      <x v="68"/>
    </i>
    <i>
      <x v="73"/>
    </i>
    <i>
      <x v="80"/>
    </i>
    <i>
      <x v="82"/>
    </i>
    <i>
      <x v="87"/>
    </i>
    <i>
      <x v="88"/>
    </i>
    <i>
      <x v="89"/>
    </i>
    <i>
      <x v="90"/>
    </i>
    <i>
      <x v="100"/>
    </i>
    <i t="grand">
      <x/>
    </i>
  </rowItems>
  <colItems count="1">
    <i/>
  </colItems>
  <pageFields count="1">
    <pageField fld="20" hier="-1"/>
  </pageFields>
  <dataFields count="1">
    <dataField name="Average of Overdue_Delay" fld="20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6D38E-B6AB-4FE6-8062-2DEF620EE38C}">
  <dimension ref="A1:B30"/>
  <sheetViews>
    <sheetView workbookViewId="0">
      <selection activeCell="J20" sqref="J19:J20"/>
    </sheetView>
  </sheetViews>
  <sheetFormatPr defaultRowHeight="15" x14ac:dyDescent="0.25"/>
  <cols>
    <col min="1" max="1" width="14.7109375" bestFit="1" customWidth="1"/>
    <col min="2" max="2" width="22.140625" bestFit="1" customWidth="1"/>
  </cols>
  <sheetData>
    <row r="1" spans="1:2" x14ac:dyDescent="0.25">
      <c r="A1" s="6" t="s">
        <v>2134</v>
      </c>
      <c r="B1" s="7">
        <v>1</v>
      </c>
    </row>
    <row r="3" spans="1:2" x14ac:dyDescent="0.25">
      <c r="A3" s="6" t="s">
        <v>2132</v>
      </c>
      <c r="B3" t="s">
        <v>2135</v>
      </c>
    </row>
    <row r="4" spans="1:2" x14ac:dyDescent="0.25">
      <c r="A4" s="7" t="s">
        <v>1418</v>
      </c>
      <c r="B4" s="8">
        <v>5</v>
      </c>
    </row>
    <row r="5" spans="1:2" x14ac:dyDescent="0.25">
      <c r="A5" s="7" t="s">
        <v>411</v>
      </c>
      <c r="B5" s="8">
        <v>4</v>
      </c>
    </row>
    <row r="6" spans="1:2" x14ac:dyDescent="0.25">
      <c r="A6" s="7" t="s">
        <v>1712</v>
      </c>
      <c r="B6" s="8">
        <v>4</v>
      </c>
    </row>
    <row r="7" spans="1:2" x14ac:dyDescent="0.25">
      <c r="A7" s="7" t="s">
        <v>1355</v>
      </c>
      <c r="B7" s="8">
        <v>4</v>
      </c>
    </row>
    <row r="8" spans="1:2" x14ac:dyDescent="0.25">
      <c r="A8" s="7" t="s">
        <v>1922</v>
      </c>
      <c r="B8" s="8">
        <v>3</v>
      </c>
    </row>
    <row r="9" spans="1:2" x14ac:dyDescent="0.25">
      <c r="A9" s="7" t="s">
        <v>138</v>
      </c>
      <c r="B9" s="8">
        <v>3</v>
      </c>
    </row>
    <row r="10" spans="1:2" x14ac:dyDescent="0.25">
      <c r="A10" s="7" t="s">
        <v>998</v>
      </c>
      <c r="B10" s="8">
        <v>3</v>
      </c>
    </row>
    <row r="11" spans="1:2" x14ac:dyDescent="0.25">
      <c r="A11" s="7" t="s">
        <v>264</v>
      </c>
      <c r="B11" s="8">
        <v>3</v>
      </c>
    </row>
    <row r="12" spans="1:2" x14ac:dyDescent="0.25">
      <c r="A12" s="7" t="s">
        <v>914</v>
      </c>
      <c r="B12" s="8">
        <v>3</v>
      </c>
    </row>
    <row r="13" spans="1:2" x14ac:dyDescent="0.25">
      <c r="A13" s="7" t="s">
        <v>746</v>
      </c>
      <c r="B13" s="8">
        <v>3</v>
      </c>
    </row>
    <row r="14" spans="1:2" x14ac:dyDescent="0.25">
      <c r="A14" s="7" t="s">
        <v>1859</v>
      </c>
      <c r="B14" s="8">
        <v>3</v>
      </c>
    </row>
    <row r="15" spans="1:2" x14ac:dyDescent="0.25">
      <c r="A15" s="7" t="s">
        <v>893</v>
      </c>
      <c r="B15" s="8">
        <v>3</v>
      </c>
    </row>
    <row r="16" spans="1:2" x14ac:dyDescent="0.25">
      <c r="A16" s="7" t="s">
        <v>935</v>
      </c>
      <c r="B16" s="8">
        <v>3</v>
      </c>
    </row>
    <row r="17" spans="1:2" x14ac:dyDescent="0.25">
      <c r="A17" s="7" t="s">
        <v>18</v>
      </c>
      <c r="B17" s="8">
        <v>2</v>
      </c>
    </row>
    <row r="18" spans="1:2" x14ac:dyDescent="0.25">
      <c r="A18" s="7" t="s">
        <v>1754</v>
      </c>
      <c r="B18" s="8">
        <v>2</v>
      </c>
    </row>
    <row r="19" spans="1:2" x14ac:dyDescent="0.25">
      <c r="A19" s="7" t="s">
        <v>1565</v>
      </c>
      <c r="B19" s="8">
        <v>2</v>
      </c>
    </row>
    <row r="20" spans="1:2" x14ac:dyDescent="0.25">
      <c r="A20" s="7" t="s">
        <v>495</v>
      </c>
      <c r="B20" s="8">
        <v>2</v>
      </c>
    </row>
    <row r="21" spans="1:2" x14ac:dyDescent="0.25">
      <c r="A21" s="7" t="s">
        <v>1124</v>
      </c>
      <c r="B21" s="8">
        <v>2</v>
      </c>
    </row>
    <row r="22" spans="1:2" x14ac:dyDescent="0.25">
      <c r="A22" s="7" t="s">
        <v>851</v>
      </c>
      <c r="B22" s="8">
        <v>1</v>
      </c>
    </row>
    <row r="23" spans="1:2" x14ac:dyDescent="0.25">
      <c r="A23" s="7" t="s">
        <v>1880</v>
      </c>
      <c r="B23" s="8">
        <v>1</v>
      </c>
    </row>
    <row r="24" spans="1:2" x14ac:dyDescent="0.25">
      <c r="A24" s="7" t="s">
        <v>1103</v>
      </c>
      <c r="B24" s="8">
        <v>1</v>
      </c>
    </row>
    <row r="25" spans="1:2" x14ac:dyDescent="0.25">
      <c r="A25" s="7" t="s">
        <v>1271</v>
      </c>
      <c r="B25" s="8">
        <v>1</v>
      </c>
    </row>
    <row r="26" spans="1:2" x14ac:dyDescent="0.25">
      <c r="A26" s="7" t="s">
        <v>1901</v>
      </c>
      <c r="B26" s="8">
        <v>1</v>
      </c>
    </row>
    <row r="27" spans="1:2" x14ac:dyDescent="0.25">
      <c r="A27" s="7" t="s">
        <v>1313</v>
      </c>
      <c r="B27" s="8">
        <v>1</v>
      </c>
    </row>
    <row r="28" spans="1:2" x14ac:dyDescent="0.25">
      <c r="A28" s="7" t="s">
        <v>1460</v>
      </c>
      <c r="B28" s="8">
        <v>1</v>
      </c>
    </row>
    <row r="29" spans="1:2" x14ac:dyDescent="0.25">
      <c r="A29" s="7" t="s">
        <v>1334</v>
      </c>
      <c r="B29" s="8">
        <v>1</v>
      </c>
    </row>
    <row r="30" spans="1:2" x14ac:dyDescent="0.25">
      <c r="A30" s="7" t="s">
        <v>2133</v>
      </c>
      <c r="B30" s="8">
        <v>62</v>
      </c>
    </row>
  </sheetData>
  <pageMargins left="0.7" right="0.7" top="0.75" bottom="0.75" header="0.3" footer="0.3"/>
  <pageSetup orientation="portrait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E285A-55E9-4087-A38D-BCCF57E73724}">
  <dimension ref="A3:B15"/>
  <sheetViews>
    <sheetView workbookViewId="0">
      <selection activeCell="A3" sqref="A3:B15"/>
    </sheetView>
  </sheetViews>
  <sheetFormatPr defaultRowHeight="15" x14ac:dyDescent="0.25"/>
  <cols>
    <col min="1" max="1" width="23.7109375" bestFit="1" customWidth="1"/>
    <col min="2" max="2" width="22.140625" bestFit="1" customWidth="1"/>
  </cols>
  <sheetData>
    <row r="3" spans="1:2" x14ac:dyDescent="0.25">
      <c r="A3" s="6" t="s">
        <v>2132</v>
      </c>
      <c r="B3" t="s">
        <v>2135</v>
      </c>
    </row>
    <row r="4" spans="1:2" x14ac:dyDescent="0.25">
      <c r="A4" s="7" t="s">
        <v>19</v>
      </c>
      <c r="B4" s="8">
        <v>0</v>
      </c>
    </row>
    <row r="5" spans="1:2" x14ac:dyDescent="0.25">
      <c r="A5" s="7" t="s">
        <v>24</v>
      </c>
      <c r="B5" s="8">
        <v>0</v>
      </c>
    </row>
    <row r="6" spans="1:2" x14ac:dyDescent="0.25">
      <c r="A6" s="7" t="s">
        <v>41</v>
      </c>
      <c r="B6" s="8">
        <v>10</v>
      </c>
    </row>
    <row r="7" spans="1:2" x14ac:dyDescent="0.25">
      <c r="A7" s="7" t="s">
        <v>45</v>
      </c>
      <c r="B7" s="8">
        <v>13</v>
      </c>
    </row>
    <row r="8" spans="1:2" x14ac:dyDescent="0.25">
      <c r="A8" s="7" t="s">
        <v>51</v>
      </c>
      <c r="B8" s="8">
        <v>10</v>
      </c>
    </row>
    <row r="9" spans="1:2" x14ac:dyDescent="0.25">
      <c r="A9" s="7" t="s">
        <v>37</v>
      </c>
      <c r="B9" s="8">
        <v>7</v>
      </c>
    </row>
    <row r="10" spans="1:2" x14ac:dyDescent="0.25">
      <c r="A10" s="7" t="s">
        <v>27</v>
      </c>
      <c r="B10" s="8">
        <v>1</v>
      </c>
    </row>
    <row r="11" spans="1:2" x14ac:dyDescent="0.25">
      <c r="A11" s="7" t="s">
        <v>31</v>
      </c>
      <c r="B11" s="8">
        <v>4</v>
      </c>
    </row>
    <row r="12" spans="1:2" x14ac:dyDescent="0.25">
      <c r="A12" s="7" t="s">
        <v>34</v>
      </c>
      <c r="B12" s="8">
        <v>6</v>
      </c>
    </row>
    <row r="13" spans="1:2" x14ac:dyDescent="0.25">
      <c r="A13" s="7" t="s">
        <v>48</v>
      </c>
      <c r="B13" s="8">
        <v>11</v>
      </c>
    </row>
    <row r="14" spans="1:2" x14ac:dyDescent="0.25">
      <c r="A14" s="7" t="s">
        <v>2139</v>
      </c>
      <c r="B14" s="8"/>
    </row>
    <row r="15" spans="1:2" x14ac:dyDescent="0.25">
      <c r="A15" s="7" t="s">
        <v>2133</v>
      </c>
      <c r="B15" s="8">
        <v>62</v>
      </c>
    </row>
  </sheetData>
  <pageMargins left="0.7" right="0.7" top="0.75" bottom="0.75" header="0.3" footer="0.3"/>
  <pageSetup orientation="portrait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CD69C-1653-4A87-AAC1-CBEE2C31E3B9}">
  <dimension ref="A1:B31"/>
  <sheetViews>
    <sheetView workbookViewId="0">
      <selection activeCell="N21" sqref="N21"/>
    </sheetView>
  </sheetViews>
  <sheetFormatPr defaultRowHeight="15" x14ac:dyDescent="0.25"/>
  <cols>
    <col min="1" max="1" width="14.140625" bestFit="1" customWidth="1"/>
    <col min="2" max="2" width="25" bestFit="1" customWidth="1"/>
  </cols>
  <sheetData>
    <row r="1" spans="1:2" x14ac:dyDescent="0.25">
      <c r="A1" s="6" t="s">
        <v>2136</v>
      </c>
      <c r="B1" t="s">
        <v>2138</v>
      </c>
    </row>
    <row r="3" spans="1:2" x14ac:dyDescent="0.25">
      <c r="A3" s="6" t="s">
        <v>2132</v>
      </c>
      <c r="B3" t="s">
        <v>2137</v>
      </c>
    </row>
    <row r="4" spans="1:2" x14ac:dyDescent="0.25">
      <c r="A4" s="7" t="s">
        <v>18</v>
      </c>
      <c r="B4" s="8">
        <v>74.5</v>
      </c>
    </row>
    <row r="5" spans="1:2" x14ac:dyDescent="0.25">
      <c r="A5" s="7" t="s">
        <v>138</v>
      </c>
      <c r="B5" s="8">
        <v>104</v>
      </c>
    </row>
    <row r="6" spans="1:2" x14ac:dyDescent="0.25">
      <c r="A6" s="7" t="s">
        <v>264</v>
      </c>
      <c r="B6" s="8">
        <v>100.66666666666667</v>
      </c>
    </row>
    <row r="7" spans="1:2" x14ac:dyDescent="0.25">
      <c r="A7" s="7" t="s">
        <v>411</v>
      </c>
      <c r="B7" s="8">
        <v>88</v>
      </c>
    </row>
    <row r="8" spans="1:2" x14ac:dyDescent="0.25">
      <c r="A8" s="7" t="s">
        <v>495</v>
      </c>
      <c r="B8" s="8">
        <v>87.5</v>
      </c>
    </row>
    <row r="9" spans="1:2" x14ac:dyDescent="0.25">
      <c r="A9" s="7" t="s">
        <v>746</v>
      </c>
      <c r="B9" s="8">
        <v>187.66666666666666</v>
      </c>
    </row>
    <row r="10" spans="1:2" x14ac:dyDescent="0.25">
      <c r="A10" s="7" t="s">
        <v>851</v>
      </c>
      <c r="B10" s="8">
        <v>154</v>
      </c>
    </row>
    <row r="11" spans="1:2" x14ac:dyDescent="0.25">
      <c r="A11" s="7" t="s">
        <v>893</v>
      </c>
      <c r="B11" s="8">
        <v>90.333333333333329</v>
      </c>
    </row>
    <row r="12" spans="1:2" x14ac:dyDescent="0.25">
      <c r="A12" s="7" t="s">
        <v>914</v>
      </c>
      <c r="B12" s="8">
        <v>81.333333333333329</v>
      </c>
    </row>
    <row r="13" spans="1:2" x14ac:dyDescent="0.25">
      <c r="A13" s="7" t="s">
        <v>935</v>
      </c>
      <c r="B13" s="8">
        <v>143.33333333333334</v>
      </c>
    </row>
    <row r="14" spans="1:2" x14ac:dyDescent="0.25">
      <c r="A14" s="7" t="s">
        <v>998</v>
      </c>
      <c r="B14" s="8">
        <v>163</v>
      </c>
    </row>
    <row r="15" spans="1:2" x14ac:dyDescent="0.25">
      <c r="A15" s="7" t="s">
        <v>1103</v>
      </c>
      <c r="B15" s="8">
        <v>74</v>
      </c>
    </row>
    <row r="16" spans="1:2" x14ac:dyDescent="0.25">
      <c r="A16" s="7" t="s">
        <v>1124</v>
      </c>
      <c r="B16" s="8">
        <v>144</v>
      </c>
    </row>
    <row r="17" spans="1:2" x14ac:dyDescent="0.25">
      <c r="A17" s="7" t="s">
        <v>1271</v>
      </c>
      <c r="B17" s="8">
        <v>63</v>
      </c>
    </row>
    <row r="18" spans="1:2" x14ac:dyDescent="0.25">
      <c r="A18" s="7" t="s">
        <v>1313</v>
      </c>
      <c r="B18" s="8">
        <v>76</v>
      </c>
    </row>
    <row r="19" spans="1:2" x14ac:dyDescent="0.25">
      <c r="A19" s="7" t="s">
        <v>1334</v>
      </c>
      <c r="B19" s="8">
        <v>161</v>
      </c>
    </row>
    <row r="20" spans="1:2" x14ac:dyDescent="0.25">
      <c r="A20" s="7" t="s">
        <v>1355</v>
      </c>
      <c r="B20" s="8">
        <v>128.25</v>
      </c>
    </row>
    <row r="21" spans="1:2" x14ac:dyDescent="0.25">
      <c r="A21" s="7" t="s">
        <v>1418</v>
      </c>
      <c r="B21" s="8">
        <v>128</v>
      </c>
    </row>
    <row r="22" spans="1:2" x14ac:dyDescent="0.25">
      <c r="A22" s="7" t="s">
        <v>1460</v>
      </c>
      <c r="B22" s="8">
        <v>127</v>
      </c>
    </row>
    <row r="23" spans="1:2" x14ac:dyDescent="0.25">
      <c r="A23" s="7" t="s">
        <v>1565</v>
      </c>
      <c r="B23" s="8">
        <v>73.5</v>
      </c>
    </row>
    <row r="24" spans="1:2" x14ac:dyDescent="0.25">
      <c r="A24" s="7" t="s">
        <v>1712</v>
      </c>
      <c r="B24" s="8">
        <v>113.75</v>
      </c>
    </row>
    <row r="25" spans="1:2" x14ac:dyDescent="0.25">
      <c r="A25" s="7" t="s">
        <v>1754</v>
      </c>
      <c r="B25" s="8">
        <v>72.5</v>
      </c>
    </row>
    <row r="26" spans="1:2" x14ac:dyDescent="0.25">
      <c r="A26" s="7" t="s">
        <v>1859</v>
      </c>
      <c r="B26" s="8">
        <v>72</v>
      </c>
    </row>
    <row r="27" spans="1:2" x14ac:dyDescent="0.25">
      <c r="A27" s="7" t="s">
        <v>1880</v>
      </c>
      <c r="B27" s="8">
        <v>39</v>
      </c>
    </row>
    <row r="28" spans="1:2" x14ac:dyDescent="0.25">
      <c r="A28" s="7" t="s">
        <v>1901</v>
      </c>
      <c r="B28" s="8">
        <v>2</v>
      </c>
    </row>
    <row r="29" spans="1:2" x14ac:dyDescent="0.25">
      <c r="A29" s="7" t="s">
        <v>1922</v>
      </c>
      <c r="B29" s="8">
        <v>85</v>
      </c>
    </row>
    <row r="30" spans="1:2" x14ac:dyDescent="0.25">
      <c r="A30" s="7" t="s">
        <v>2139</v>
      </c>
      <c r="B30" s="8"/>
    </row>
    <row r="31" spans="1:2" x14ac:dyDescent="0.25">
      <c r="A31" s="7" t="s">
        <v>2133</v>
      </c>
      <c r="B31" s="8">
        <v>107.12903225806451</v>
      </c>
    </row>
  </sheetData>
  <pageMargins left="0.7" right="0.7" top="0.75" bottom="0.75" header="0.3" footer="0.3"/>
  <pageSetup orientation="portrait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C68D4-6872-4142-9ADA-9B303195DE52}">
  <dimension ref="A1:U1001"/>
  <sheetViews>
    <sheetView tabSelected="1" view="pageBreakPreview" topLeftCell="B1" zoomScale="110" zoomScaleNormal="100" zoomScaleSheetLayoutView="110" workbookViewId="0">
      <selection activeCell="L23" sqref="L23"/>
    </sheetView>
  </sheetViews>
  <sheetFormatPr defaultRowHeight="15" x14ac:dyDescent="0.25"/>
  <cols>
    <col min="1" max="1" width="13.7109375" style="1" hidden="1" customWidth="1"/>
    <col min="2" max="2" width="9.7109375" style="1" bestFit="1" customWidth="1"/>
    <col min="3" max="3" width="23.7109375" style="1" customWidth="1"/>
    <col min="4" max="4" width="13.28515625" style="1" customWidth="1"/>
    <col min="5" max="5" width="12.42578125" style="1" customWidth="1"/>
    <col min="6" max="6" width="11.42578125" style="1" customWidth="1"/>
    <col min="7" max="7" width="10.7109375" style="1" customWidth="1"/>
    <col min="8" max="8" width="10.85546875" style="1" customWidth="1"/>
    <col min="9" max="9" width="12.28515625" style="1" customWidth="1"/>
    <col min="10" max="10" width="11.140625" style="1" customWidth="1"/>
    <col min="11" max="11" width="13.7109375" style="1" customWidth="1"/>
    <col min="12" max="13" width="18.85546875" style="1" customWidth="1"/>
    <col min="14" max="14" width="22" style="1" customWidth="1"/>
    <col min="15" max="15" width="14.140625" style="1" customWidth="1"/>
    <col min="16" max="16" width="8.5703125" style="1" customWidth="1"/>
    <col min="17" max="17" width="13.28515625" style="1" customWidth="1"/>
    <col min="18" max="18" width="9.42578125" style="1" customWidth="1"/>
    <col min="19" max="19" width="10.7109375" style="1" bestFit="1" customWidth="1"/>
    <col min="20" max="20" width="14.7109375" style="1" bestFit="1" customWidth="1"/>
    <col min="21" max="21" width="14.140625" style="1" bestFit="1" customWidth="1"/>
    <col min="22" max="16384" width="9.140625" style="1"/>
  </cols>
  <sheetData>
    <row r="1" spans="1:21" x14ac:dyDescent="0.25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S1" s="5" t="s">
        <v>2131</v>
      </c>
      <c r="T1" s="5" t="s">
        <v>2134</v>
      </c>
      <c r="U1" s="5" t="s">
        <v>2136</v>
      </c>
    </row>
    <row r="2" spans="1:21" x14ac:dyDescent="0.25">
      <c r="A2" s="1" t="s">
        <v>17</v>
      </c>
      <c r="B2" s="1" t="s">
        <v>18</v>
      </c>
      <c r="C2" s="1" t="s">
        <v>19</v>
      </c>
      <c r="D2" s="2">
        <v>45274</v>
      </c>
      <c r="E2" s="2">
        <v>45332</v>
      </c>
      <c r="F2" s="2">
        <v>45274</v>
      </c>
      <c r="G2" s="2">
        <v>45332</v>
      </c>
      <c r="H2" s="1" t="s">
        <v>20</v>
      </c>
      <c r="I2" s="1">
        <v>100</v>
      </c>
      <c r="J2" s="1">
        <v>11078511</v>
      </c>
      <c r="L2" s="1" t="s">
        <v>21</v>
      </c>
      <c r="M2" s="1" t="s">
        <v>21</v>
      </c>
      <c r="N2" s="1" t="s">
        <v>22</v>
      </c>
      <c r="O2" s="1">
        <v>1</v>
      </c>
      <c r="P2" s="1" t="b">
        <v>1</v>
      </c>
      <c r="T2" s="1">
        <f>IF(S2&gt;0,1,0)</f>
        <v>0</v>
      </c>
      <c r="U2" s="1">
        <f>IF(S2&gt;0,S2,0)</f>
        <v>0</v>
      </c>
    </row>
    <row r="3" spans="1:21" x14ac:dyDescent="0.25">
      <c r="A3" s="1" t="s">
        <v>23</v>
      </c>
      <c r="B3" s="1" t="s">
        <v>18</v>
      </c>
      <c r="C3" s="1" t="s">
        <v>24</v>
      </c>
      <c r="D3" s="2">
        <v>45332</v>
      </c>
      <c r="E3" s="2">
        <v>45449</v>
      </c>
      <c r="F3" s="2">
        <v>45332</v>
      </c>
      <c r="G3" s="2">
        <v>45449</v>
      </c>
      <c r="H3" s="1" t="s">
        <v>20</v>
      </c>
      <c r="I3" s="1">
        <v>100</v>
      </c>
      <c r="J3" s="1">
        <v>22157022</v>
      </c>
      <c r="L3" s="1" t="s">
        <v>25</v>
      </c>
      <c r="M3" s="1" t="s">
        <v>25</v>
      </c>
      <c r="N3" s="1" t="s">
        <v>22</v>
      </c>
      <c r="O3" s="1">
        <v>1</v>
      </c>
      <c r="P3" s="1" t="b">
        <v>1</v>
      </c>
      <c r="R3" s="1">
        <f>G3-E3</f>
        <v>0</v>
      </c>
      <c r="T3" s="1">
        <f t="shared" ref="T3:T66" si="0">IF(S3&gt;0,1,0)</f>
        <v>0</v>
      </c>
      <c r="U3" s="1">
        <f t="shared" ref="U3:U66" si="1">IF(S3&gt;0,S3,0)</f>
        <v>0</v>
      </c>
    </row>
    <row r="4" spans="1:21" x14ac:dyDescent="0.25">
      <c r="A4" s="1" t="s">
        <v>26</v>
      </c>
      <c r="B4" s="1" t="s">
        <v>18</v>
      </c>
      <c r="C4" s="1" t="s">
        <v>27</v>
      </c>
      <c r="D4" s="2">
        <v>45449</v>
      </c>
      <c r="E4" s="2">
        <v>45589</v>
      </c>
      <c r="F4" s="2">
        <v>45449</v>
      </c>
      <c r="G4" s="2">
        <v>45589</v>
      </c>
      <c r="H4" s="1" t="s">
        <v>20</v>
      </c>
      <c r="I4" s="1">
        <v>100</v>
      </c>
      <c r="J4" s="1">
        <v>26588427</v>
      </c>
      <c r="L4" s="1" t="s">
        <v>28</v>
      </c>
      <c r="M4" s="1" t="s">
        <v>28</v>
      </c>
      <c r="N4" s="1" t="s">
        <v>22</v>
      </c>
      <c r="O4" s="1">
        <v>1</v>
      </c>
      <c r="P4" s="1" t="b">
        <v>1</v>
      </c>
      <c r="Q4" s="1" t="s">
        <v>29</v>
      </c>
      <c r="R4" s="1">
        <f>G4-E4</f>
        <v>0</v>
      </c>
      <c r="T4" s="1">
        <f t="shared" si="0"/>
        <v>0</v>
      </c>
      <c r="U4" s="1">
        <f t="shared" si="1"/>
        <v>0</v>
      </c>
    </row>
    <row r="5" spans="1:21" x14ac:dyDescent="0.25">
      <c r="A5" s="1" t="s">
        <v>30</v>
      </c>
      <c r="B5" s="1" t="s">
        <v>18</v>
      </c>
      <c r="C5" s="1" t="s">
        <v>31</v>
      </c>
      <c r="D5" s="2">
        <v>45589</v>
      </c>
      <c r="E5" s="2">
        <v>45764</v>
      </c>
      <c r="F5" s="2">
        <v>45589</v>
      </c>
      <c r="G5" s="2">
        <v>45764</v>
      </c>
      <c r="H5" s="1" t="s">
        <v>20</v>
      </c>
      <c r="I5" s="1">
        <v>100</v>
      </c>
      <c r="J5" s="1">
        <v>33235534</v>
      </c>
      <c r="L5" s="1" t="s">
        <v>32</v>
      </c>
      <c r="M5" s="1" t="s">
        <v>32</v>
      </c>
      <c r="N5" s="1" t="s">
        <v>22</v>
      </c>
      <c r="O5" s="1">
        <v>1</v>
      </c>
      <c r="P5" s="1" t="b">
        <v>1</v>
      </c>
      <c r="R5" s="1">
        <f>G5-E5</f>
        <v>0</v>
      </c>
      <c r="T5" s="1">
        <f t="shared" si="0"/>
        <v>0</v>
      </c>
      <c r="U5" s="1">
        <f t="shared" si="1"/>
        <v>0</v>
      </c>
    </row>
    <row r="6" spans="1:21" x14ac:dyDescent="0.25">
      <c r="A6" s="1" t="s">
        <v>33</v>
      </c>
      <c r="B6" s="1" t="s">
        <v>18</v>
      </c>
      <c r="C6" s="1" t="s">
        <v>34</v>
      </c>
      <c r="D6" s="2">
        <v>45764</v>
      </c>
      <c r="E6" s="2">
        <v>46056</v>
      </c>
      <c r="F6" s="2">
        <v>45764</v>
      </c>
      <c r="G6" s="2">
        <v>46056</v>
      </c>
      <c r="H6" s="1" t="s">
        <v>20</v>
      </c>
      <c r="I6" s="1">
        <v>100</v>
      </c>
      <c r="J6" s="1">
        <v>55392556</v>
      </c>
      <c r="L6" s="1" t="s">
        <v>35</v>
      </c>
      <c r="M6" s="1" t="s">
        <v>35</v>
      </c>
      <c r="N6" s="1" t="s">
        <v>22</v>
      </c>
      <c r="O6" s="1">
        <v>1</v>
      </c>
      <c r="P6" s="1" t="b">
        <v>1</v>
      </c>
      <c r="Q6" s="1" t="s">
        <v>29</v>
      </c>
      <c r="R6" s="1">
        <f>G6-E6</f>
        <v>0</v>
      </c>
      <c r="T6" s="1">
        <f t="shared" si="0"/>
        <v>0</v>
      </c>
      <c r="U6" s="1">
        <f t="shared" si="1"/>
        <v>0</v>
      </c>
    </row>
    <row r="7" spans="1:21" x14ac:dyDescent="0.25">
      <c r="A7" s="1" t="s">
        <v>36</v>
      </c>
      <c r="B7" s="1" t="s">
        <v>18</v>
      </c>
      <c r="C7" s="1" t="s">
        <v>37</v>
      </c>
      <c r="D7" s="2">
        <v>46056</v>
      </c>
      <c r="E7" s="2">
        <v>46173</v>
      </c>
      <c r="F7" s="2">
        <v>46056</v>
      </c>
      <c r="H7" s="1" t="s">
        <v>38</v>
      </c>
      <c r="I7" s="1">
        <v>74</v>
      </c>
      <c r="J7" s="1">
        <v>22157022</v>
      </c>
      <c r="L7" s="1" t="s">
        <v>39</v>
      </c>
      <c r="M7" s="1" t="s">
        <v>39</v>
      </c>
      <c r="N7" s="1" t="s">
        <v>22</v>
      </c>
      <c r="O7" s="1">
        <v>1</v>
      </c>
      <c r="P7" s="1" t="b">
        <v>1</v>
      </c>
      <c r="R7" s="2">
        <v>46294</v>
      </c>
      <c r="S7" s="1">
        <f>R$7-E7</f>
        <v>121</v>
      </c>
      <c r="T7" s="1">
        <f t="shared" si="0"/>
        <v>1</v>
      </c>
      <c r="U7" s="1">
        <f t="shared" si="1"/>
        <v>121</v>
      </c>
    </row>
    <row r="8" spans="1:21" x14ac:dyDescent="0.25">
      <c r="A8" s="1" t="s">
        <v>40</v>
      </c>
      <c r="B8" s="1" t="s">
        <v>18</v>
      </c>
      <c r="C8" s="1" t="s">
        <v>41</v>
      </c>
      <c r="D8" s="2">
        <v>46173</v>
      </c>
      <c r="E8" s="2">
        <v>46266</v>
      </c>
      <c r="H8" s="1" t="s">
        <v>42</v>
      </c>
      <c r="I8" s="1">
        <v>0</v>
      </c>
      <c r="J8" s="1">
        <v>17725618</v>
      </c>
      <c r="L8" s="1" t="s">
        <v>43</v>
      </c>
      <c r="M8" s="1" t="s">
        <v>43</v>
      </c>
      <c r="N8" s="1" t="s">
        <v>22</v>
      </c>
      <c r="O8" s="1">
        <v>1</v>
      </c>
      <c r="P8" s="1" t="b">
        <v>1</v>
      </c>
      <c r="S8" s="1">
        <f>R$7-E8</f>
        <v>28</v>
      </c>
      <c r="T8" s="1">
        <f t="shared" si="0"/>
        <v>1</v>
      </c>
      <c r="U8" s="1">
        <f t="shared" si="1"/>
        <v>28</v>
      </c>
    </row>
    <row r="9" spans="1:21" x14ac:dyDescent="0.25">
      <c r="A9" s="1" t="s">
        <v>44</v>
      </c>
      <c r="B9" s="1" t="s">
        <v>18</v>
      </c>
      <c r="C9" s="1" t="s">
        <v>45</v>
      </c>
      <c r="D9" s="2">
        <v>46266</v>
      </c>
      <c r="E9" s="2">
        <v>46383</v>
      </c>
      <c r="H9" s="1" t="s">
        <v>42</v>
      </c>
      <c r="I9" s="1">
        <v>0</v>
      </c>
      <c r="J9" s="1">
        <v>22157022</v>
      </c>
      <c r="L9" s="1" t="s">
        <v>46</v>
      </c>
      <c r="M9" s="1" t="s">
        <v>46</v>
      </c>
      <c r="N9" s="1" t="s">
        <v>22</v>
      </c>
      <c r="O9" s="1">
        <v>1</v>
      </c>
      <c r="P9" s="1" t="b">
        <v>1</v>
      </c>
      <c r="S9" s="1">
        <f>R$7-E9</f>
        <v>-89</v>
      </c>
      <c r="T9" s="1">
        <f t="shared" si="0"/>
        <v>0</v>
      </c>
      <c r="U9" s="1">
        <f t="shared" si="1"/>
        <v>0</v>
      </c>
    </row>
    <row r="10" spans="1:21" x14ac:dyDescent="0.25">
      <c r="A10" s="1" t="s">
        <v>47</v>
      </c>
      <c r="B10" s="1" t="s">
        <v>18</v>
      </c>
      <c r="C10" s="1" t="s">
        <v>48</v>
      </c>
      <c r="D10" s="2">
        <v>46383</v>
      </c>
      <c r="E10" s="2">
        <v>46418</v>
      </c>
      <c r="H10" s="1" t="s">
        <v>42</v>
      </c>
      <c r="I10" s="1">
        <v>0</v>
      </c>
      <c r="J10" s="1">
        <v>6647106</v>
      </c>
      <c r="L10" s="1" t="s">
        <v>49</v>
      </c>
      <c r="M10" s="1" t="s">
        <v>49</v>
      </c>
      <c r="N10" s="1" t="s">
        <v>22</v>
      </c>
      <c r="O10" s="1">
        <v>1</v>
      </c>
      <c r="P10" s="1" t="b">
        <v>1</v>
      </c>
      <c r="S10" s="1">
        <f>R$7-E10</f>
        <v>-124</v>
      </c>
      <c r="T10" s="1">
        <f t="shared" si="0"/>
        <v>0</v>
      </c>
      <c r="U10" s="1">
        <f t="shared" si="1"/>
        <v>0</v>
      </c>
    </row>
    <row r="11" spans="1:21" x14ac:dyDescent="0.25">
      <c r="A11" s="1" t="s">
        <v>50</v>
      </c>
      <c r="B11" s="1" t="s">
        <v>18</v>
      </c>
      <c r="C11" s="1" t="s">
        <v>51</v>
      </c>
      <c r="D11" s="2">
        <v>46418</v>
      </c>
      <c r="E11" s="2">
        <v>46441</v>
      </c>
      <c r="H11" s="1" t="s">
        <v>42</v>
      </c>
      <c r="I11" s="1">
        <v>0</v>
      </c>
      <c r="J11" s="1">
        <v>4431404</v>
      </c>
      <c r="L11" s="1" t="s">
        <v>52</v>
      </c>
      <c r="M11" s="1" t="s">
        <v>52</v>
      </c>
      <c r="N11" s="1" t="s">
        <v>22</v>
      </c>
      <c r="O11" s="1">
        <v>1</v>
      </c>
      <c r="P11" s="1" t="b">
        <v>1</v>
      </c>
      <c r="S11" s="1">
        <f>R$7-E11</f>
        <v>-147</v>
      </c>
      <c r="T11" s="1">
        <f t="shared" si="0"/>
        <v>0</v>
      </c>
      <c r="U11" s="1">
        <f t="shared" si="1"/>
        <v>0</v>
      </c>
    </row>
    <row r="12" spans="1:21" x14ac:dyDescent="0.25">
      <c r="A12" s="1" t="s">
        <v>53</v>
      </c>
      <c r="B12" s="1" t="s">
        <v>54</v>
      </c>
      <c r="C12" s="1" t="s">
        <v>19</v>
      </c>
      <c r="D12" s="2">
        <v>44355</v>
      </c>
      <c r="E12" s="2">
        <v>44395</v>
      </c>
      <c r="F12" s="2">
        <v>44355</v>
      </c>
      <c r="G12" s="2">
        <v>44395</v>
      </c>
      <c r="H12" s="1" t="s">
        <v>20</v>
      </c>
      <c r="I12" s="1">
        <v>100</v>
      </c>
      <c r="J12" s="1">
        <v>6323773</v>
      </c>
      <c r="L12" s="1" t="s">
        <v>55</v>
      </c>
      <c r="M12" s="1" t="s">
        <v>55</v>
      </c>
      <c r="N12" s="1" t="s">
        <v>22</v>
      </c>
      <c r="O12" s="1">
        <v>1</v>
      </c>
      <c r="P12" s="1" t="b">
        <v>1</v>
      </c>
      <c r="R12" s="1">
        <f t="shared" ref="R12:R58" si="2">G12-E12</f>
        <v>0</v>
      </c>
      <c r="T12" s="1">
        <f t="shared" si="0"/>
        <v>0</v>
      </c>
      <c r="U12" s="1">
        <f t="shared" si="1"/>
        <v>0</v>
      </c>
    </row>
    <row r="13" spans="1:21" x14ac:dyDescent="0.25">
      <c r="A13" s="1" t="s">
        <v>56</v>
      </c>
      <c r="B13" s="1" t="s">
        <v>54</v>
      </c>
      <c r="C13" s="1" t="s">
        <v>24</v>
      </c>
      <c r="D13" s="2">
        <v>44395</v>
      </c>
      <c r="E13" s="2">
        <v>44476</v>
      </c>
      <c r="F13" s="2">
        <v>44395</v>
      </c>
      <c r="G13" s="2">
        <v>44476</v>
      </c>
      <c r="H13" s="1" t="s">
        <v>20</v>
      </c>
      <c r="I13" s="1">
        <v>100</v>
      </c>
      <c r="J13" s="1">
        <v>12647547</v>
      </c>
      <c r="L13" s="1" t="s">
        <v>57</v>
      </c>
      <c r="M13" s="1" t="s">
        <v>57</v>
      </c>
      <c r="N13" s="1" t="s">
        <v>22</v>
      </c>
      <c r="O13" s="1">
        <v>1</v>
      </c>
      <c r="P13" s="1" t="b">
        <v>1</v>
      </c>
      <c r="R13" s="1">
        <f t="shared" si="2"/>
        <v>0</v>
      </c>
      <c r="T13" s="1">
        <f t="shared" si="0"/>
        <v>0</v>
      </c>
      <c r="U13" s="1">
        <f t="shared" si="1"/>
        <v>0</v>
      </c>
    </row>
    <row r="14" spans="1:21" x14ac:dyDescent="0.25">
      <c r="A14" s="1" t="s">
        <v>58</v>
      </c>
      <c r="B14" s="1" t="s">
        <v>54</v>
      </c>
      <c r="C14" s="1" t="s">
        <v>27</v>
      </c>
      <c r="D14" s="2">
        <v>44476</v>
      </c>
      <c r="E14" s="2">
        <v>44573</v>
      </c>
      <c r="F14" s="2">
        <v>44476</v>
      </c>
      <c r="G14" s="2">
        <v>44573</v>
      </c>
      <c r="H14" s="1" t="s">
        <v>20</v>
      </c>
      <c r="I14" s="1">
        <v>100</v>
      </c>
      <c r="J14" s="1">
        <v>15177057</v>
      </c>
      <c r="L14" s="1" t="s">
        <v>59</v>
      </c>
      <c r="M14" s="1" t="s">
        <v>59</v>
      </c>
      <c r="N14" s="1" t="s">
        <v>22</v>
      </c>
      <c r="O14" s="1">
        <v>1</v>
      </c>
      <c r="P14" s="1" t="b">
        <v>1</v>
      </c>
      <c r="Q14" s="1" t="s">
        <v>29</v>
      </c>
      <c r="R14" s="1">
        <f t="shared" si="2"/>
        <v>0</v>
      </c>
      <c r="T14" s="1">
        <f t="shared" si="0"/>
        <v>0</v>
      </c>
      <c r="U14" s="1">
        <f t="shared" si="1"/>
        <v>0</v>
      </c>
    </row>
    <row r="15" spans="1:21" x14ac:dyDescent="0.25">
      <c r="A15" s="1" t="s">
        <v>60</v>
      </c>
      <c r="B15" s="1" t="s">
        <v>54</v>
      </c>
      <c r="C15" s="1" t="s">
        <v>31</v>
      </c>
      <c r="D15" s="2">
        <v>44573</v>
      </c>
      <c r="E15" s="2">
        <v>44694</v>
      </c>
      <c r="F15" s="2">
        <v>44573</v>
      </c>
      <c r="G15" s="2">
        <v>44694</v>
      </c>
      <c r="H15" s="1" t="s">
        <v>20</v>
      </c>
      <c r="I15" s="1">
        <v>100</v>
      </c>
      <c r="J15" s="1">
        <v>18971321</v>
      </c>
      <c r="L15" s="1" t="s">
        <v>61</v>
      </c>
      <c r="M15" s="1" t="s">
        <v>61</v>
      </c>
      <c r="N15" s="1" t="s">
        <v>22</v>
      </c>
      <c r="O15" s="1">
        <v>1</v>
      </c>
      <c r="P15" s="1" t="b">
        <v>1</v>
      </c>
      <c r="R15" s="1">
        <f t="shared" si="2"/>
        <v>0</v>
      </c>
      <c r="T15" s="1">
        <f t="shared" si="0"/>
        <v>0</v>
      </c>
      <c r="U15" s="1">
        <f t="shared" si="1"/>
        <v>0</v>
      </c>
    </row>
    <row r="16" spans="1:21" x14ac:dyDescent="0.25">
      <c r="A16" s="1" t="s">
        <v>62</v>
      </c>
      <c r="B16" s="1" t="s">
        <v>54</v>
      </c>
      <c r="C16" s="1" t="s">
        <v>34</v>
      </c>
      <c r="D16" s="2">
        <v>44694</v>
      </c>
      <c r="E16" s="2">
        <v>44896</v>
      </c>
      <c r="F16" s="2">
        <v>44694</v>
      </c>
      <c r="G16" s="2">
        <v>44896</v>
      </c>
      <c r="H16" s="1" t="s">
        <v>20</v>
      </c>
      <c r="I16" s="1">
        <v>100</v>
      </c>
      <c r="J16" s="1">
        <v>31618869</v>
      </c>
      <c r="L16" s="1" t="s">
        <v>63</v>
      </c>
      <c r="M16" s="1" t="s">
        <v>63</v>
      </c>
      <c r="N16" s="1" t="s">
        <v>22</v>
      </c>
      <c r="O16" s="1">
        <v>1</v>
      </c>
      <c r="P16" s="1" t="b">
        <v>1</v>
      </c>
      <c r="Q16" s="1" t="s">
        <v>29</v>
      </c>
      <c r="R16" s="1">
        <f t="shared" si="2"/>
        <v>0</v>
      </c>
      <c r="T16" s="1">
        <f t="shared" si="0"/>
        <v>0</v>
      </c>
      <c r="U16" s="1">
        <f t="shared" si="1"/>
        <v>0</v>
      </c>
    </row>
    <row r="17" spans="1:21" x14ac:dyDescent="0.25">
      <c r="A17" s="1" t="s">
        <v>64</v>
      </c>
      <c r="B17" s="1" t="s">
        <v>54</v>
      </c>
      <c r="C17" s="1" t="s">
        <v>37</v>
      </c>
      <c r="D17" s="2">
        <v>44896</v>
      </c>
      <c r="E17" s="2">
        <v>44977</v>
      </c>
      <c r="F17" s="2">
        <v>44896</v>
      </c>
      <c r="G17" s="2">
        <v>44977</v>
      </c>
      <c r="H17" s="1" t="s">
        <v>20</v>
      </c>
      <c r="I17" s="1">
        <v>100</v>
      </c>
      <c r="J17" s="1">
        <v>12647547</v>
      </c>
      <c r="L17" s="1" t="s">
        <v>65</v>
      </c>
      <c r="M17" s="1" t="s">
        <v>65</v>
      </c>
      <c r="N17" s="1" t="s">
        <v>22</v>
      </c>
      <c r="O17" s="1">
        <v>1</v>
      </c>
      <c r="P17" s="1" t="b">
        <v>1</v>
      </c>
      <c r="R17" s="1">
        <f t="shared" si="2"/>
        <v>0</v>
      </c>
      <c r="T17" s="1">
        <f t="shared" si="0"/>
        <v>0</v>
      </c>
      <c r="U17" s="1">
        <f t="shared" si="1"/>
        <v>0</v>
      </c>
    </row>
    <row r="18" spans="1:21" x14ac:dyDescent="0.25">
      <c r="A18" s="1" t="s">
        <v>66</v>
      </c>
      <c r="B18" s="1" t="s">
        <v>54</v>
      </c>
      <c r="C18" s="1" t="s">
        <v>41</v>
      </c>
      <c r="D18" s="2">
        <v>44977</v>
      </c>
      <c r="E18" s="2">
        <v>45041</v>
      </c>
      <c r="F18" s="2">
        <v>44977</v>
      </c>
      <c r="G18" s="2">
        <v>45041</v>
      </c>
      <c r="H18" s="1" t="s">
        <v>20</v>
      </c>
      <c r="I18" s="1">
        <v>100</v>
      </c>
      <c r="J18" s="1">
        <v>10118038</v>
      </c>
      <c r="L18" s="1" t="s">
        <v>67</v>
      </c>
      <c r="M18" s="1" t="s">
        <v>67</v>
      </c>
      <c r="N18" s="1" t="s">
        <v>22</v>
      </c>
      <c r="O18" s="1">
        <v>1</v>
      </c>
      <c r="P18" s="1" t="b">
        <v>1</v>
      </c>
      <c r="R18" s="1">
        <f t="shared" si="2"/>
        <v>0</v>
      </c>
      <c r="T18" s="1">
        <f t="shared" si="0"/>
        <v>0</v>
      </c>
      <c r="U18" s="1">
        <f t="shared" si="1"/>
        <v>0</v>
      </c>
    </row>
    <row r="19" spans="1:21" x14ac:dyDescent="0.25">
      <c r="A19" s="1" t="s">
        <v>68</v>
      </c>
      <c r="B19" s="1" t="s">
        <v>54</v>
      </c>
      <c r="C19" s="1" t="s">
        <v>45</v>
      </c>
      <c r="D19" s="2">
        <v>45041</v>
      </c>
      <c r="E19" s="2">
        <v>45122</v>
      </c>
      <c r="F19" s="2">
        <v>45041</v>
      </c>
      <c r="G19" s="2">
        <v>45122</v>
      </c>
      <c r="H19" s="1" t="s">
        <v>20</v>
      </c>
      <c r="I19" s="1">
        <v>100</v>
      </c>
      <c r="J19" s="1">
        <v>12647547</v>
      </c>
      <c r="L19" s="1" t="s">
        <v>69</v>
      </c>
      <c r="M19" s="1" t="s">
        <v>69</v>
      </c>
      <c r="N19" s="1" t="s">
        <v>22</v>
      </c>
      <c r="O19" s="1">
        <v>1</v>
      </c>
      <c r="P19" s="1" t="b">
        <v>1</v>
      </c>
      <c r="R19" s="1">
        <f t="shared" si="2"/>
        <v>0</v>
      </c>
      <c r="T19" s="1">
        <f t="shared" si="0"/>
        <v>0</v>
      </c>
      <c r="U19" s="1">
        <f t="shared" si="1"/>
        <v>0</v>
      </c>
    </row>
    <row r="20" spans="1:21" x14ac:dyDescent="0.25">
      <c r="A20" s="1" t="s">
        <v>70</v>
      </c>
      <c r="B20" s="1" t="s">
        <v>54</v>
      </c>
      <c r="C20" s="1" t="s">
        <v>48</v>
      </c>
      <c r="D20" s="2">
        <v>45122</v>
      </c>
      <c r="E20" s="2">
        <v>45146</v>
      </c>
      <c r="F20" s="2">
        <v>45122</v>
      </c>
      <c r="G20" s="2">
        <v>45146</v>
      </c>
      <c r="H20" s="1" t="s">
        <v>20</v>
      </c>
      <c r="I20" s="1">
        <v>100</v>
      </c>
      <c r="J20" s="1">
        <v>3794264</v>
      </c>
      <c r="L20" s="1" t="s">
        <v>71</v>
      </c>
      <c r="M20" s="1" t="s">
        <v>71</v>
      </c>
      <c r="N20" s="1" t="s">
        <v>22</v>
      </c>
      <c r="O20" s="1">
        <v>1</v>
      </c>
      <c r="P20" s="1" t="b">
        <v>1</v>
      </c>
      <c r="R20" s="1">
        <f t="shared" si="2"/>
        <v>0</v>
      </c>
      <c r="T20" s="1">
        <f t="shared" si="0"/>
        <v>0</v>
      </c>
      <c r="U20" s="1">
        <f t="shared" si="1"/>
        <v>0</v>
      </c>
    </row>
    <row r="21" spans="1:21" x14ac:dyDescent="0.25">
      <c r="A21" s="1" t="s">
        <v>72</v>
      </c>
      <c r="B21" s="1" t="s">
        <v>54</v>
      </c>
      <c r="C21" s="1" t="s">
        <v>51</v>
      </c>
      <c r="D21" s="2">
        <v>45146</v>
      </c>
      <c r="E21" s="2">
        <v>45162</v>
      </c>
      <c r="F21" s="2">
        <v>45146</v>
      </c>
      <c r="G21" s="2">
        <v>45162</v>
      </c>
      <c r="H21" s="1" t="s">
        <v>20</v>
      </c>
      <c r="I21" s="1">
        <v>100</v>
      </c>
      <c r="J21" s="1">
        <v>2529509</v>
      </c>
      <c r="L21" s="1" t="s">
        <v>73</v>
      </c>
      <c r="M21" s="1" t="s">
        <v>73</v>
      </c>
      <c r="N21" s="1" t="s">
        <v>22</v>
      </c>
      <c r="O21" s="1">
        <v>1</v>
      </c>
      <c r="P21" s="1" t="b">
        <v>1</v>
      </c>
      <c r="R21" s="1">
        <f t="shared" si="2"/>
        <v>0</v>
      </c>
      <c r="T21" s="1">
        <f t="shared" si="0"/>
        <v>0</v>
      </c>
      <c r="U21" s="1">
        <f t="shared" si="1"/>
        <v>0</v>
      </c>
    </row>
    <row r="22" spans="1:21" x14ac:dyDescent="0.25">
      <c r="A22" s="1" t="s">
        <v>74</v>
      </c>
      <c r="B22" s="1" t="s">
        <v>75</v>
      </c>
      <c r="C22" s="1" t="s">
        <v>19</v>
      </c>
      <c r="D22" s="2">
        <v>44387</v>
      </c>
      <c r="E22" s="2">
        <v>44448</v>
      </c>
      <c r="F22" s="2">
        <v>44387</v>
      </c>
      <c r="G22" s="2">
        <v>44448</v>
      </c>
      <c r="H22" s="1" t="s">
        <v>20</v>
      </c>
      <c r="I22" s="1">
        <v>100</v>
      </c>
      <c r="J22" s="1">
        <v>19787589</v>
      </c>
      <c r="L22" s="1" t="s">
        <v>76</v>
      </c>
      <c r="M22" s="1" t="s">
        <v>76</v>
      </c>
      <c r="N22" s="1" t="s">
        <v>22</v>
      </c>
      <c r="O22" s="1">
        <v>1</v>
      </c>
      <c r="P22" s="1" t="b">
        <v>1</v>
      </c>
      <c r="R22" s="1">
        <f t="shared" si="2"/>
        <v>0</v>
      </c>
      <c r="T22" s="1">
        <f t="shared" si="0"/>
        <v>0</v>
      </c>
      <c r="U22" s="1">
        <f t="shared" si="1"/>
        <v>0</v>
      </c>
    </row>
    <row r="23" spans="1:21" x14ac:dyDescent="0.25">
      <c r="A23" s="1" t="s">
        <v>77</v>
      </c>
      <c r="B23" s="1" t="s">
        <v>75</v>
      </c>
      <c r="C23" s="1" t="s">
        <v>24</v>
      </c>
      <c r="D23" s="2">
        <v>44448</v>
      </c>
      <c r="E23" s="2">
        <v>44571</v>
      </c>
      <c r="F23" s="2">
        <v>44448</v>
      </c>
      <c r="G23" s="2">
        <v>44571</v>
      </c>
      <c r="H23" s="1" t="s">
        <v>20</v>
      </c>
      <c r="I23" s="1">
        <v>100</v>
      </c>
      <c r="J23" s="1">
        <v>39575178</v>
      </c>
      <c r="L23" s="1" t="s">
        <v>78</v>
      </c>
      <c r="M23" s="1" t="s">
        <v>78</v>
      </c>
      <c r="N23" s="1" t="s">
        <v>22</v>
      </c>
      <c r="O23" s="1">
        <v>1</v>
      </c>
      <c r="P23" s="1" t="b">
        <v>1</v>
      </c>
      <c r="R23" s="1">
        <f t="shared" si="2"/>
        <v>0</v>
      </c>
      <c r="T23" s="1">
        <f t="shared" si="0"/>
        <v>0</v>
      </c>
      <c r="U23" s="1">
        <f t="shared" si="1"/>
        <v>0</v>
      </c>
    </row>
    <row r="24" spans="1:21" x14ac:dyDescent="0.25">
      <c r="A24" s="1" t="s">
        <v>79</v>
      </c>
      <c r="B24" s="1" t="s">
        <v>75</v>
      </c>
      <c r="C24" s="1" t="s">
        <v>27</v>
      </c>
      <c r="D24" s="2">
        <v>44571</v>
      </c>
      <c r="E24" s="2">
        <v>44718</v>
      </c>
      <c r="F24" s="2">
        <v>44571</v>
      </c>
      <c r="G24" s="2">
        <v>44718</v>
      </c>
      <c r="H24" s="1" t="s">
        <v>20</v>
      </c>
      <c r="I24" s="1">
        <v>100</v>
      </c>
      <c r="J24" s="1">
        <v>47490213</v>
      </c>
      <c r="L24" s="1" t="s">
        <v>80</v>
      </c>
      <c r="M24" s="1" t="s">
        <v>80</v>
      </c>
      <c r="N24" s="1" t="s">
        <v>22</v>
      </c>
      <c r="O24" s="1">
        <v>1</v>
      </c>
      <c r="P24" s="1" t="b">
        <v>1</v>
      </c>
      <c r="Q24" s="1" t="s">
        <v>29</v>
      </c>
      <c r="R24" s="1">
        <f t="shared" si="2"/>
        <v>0</v>
      </c>
      <c r="T24" s="1">
        <f t="shared" si="0"/>
        <v>0</v>
      </c>
      <c r="U24" s="1">
        <f t="shared" si="1"/>
        <v>0</v>
      </c>
    </row>
    <row r="25" spans="1:21" x14ac:dyDescent="0.25">
      <c r="A25" s="1" t="s">
        <v>81</v>
      </c>
      <c r="B25" s="1" t="s">
        <v>75</v>
      </c>
      <c r="C25" s="1" t="s">
        <v>31</v>
      </c>
      <c r="D25" s="2">
        <v>44718</v>
      </c>
      <c r="E25" s="2">
        <v>44902</v>
      </c>
      <c r="F25" s="2">
        <v>44718</v>
      </c>
      <c r="G25" s="2">
        <v>44902</v>
      </c>
      <c r="H25" s="1" t="s">
        <v>20</v>
      </c>
      <c r="I25" s="1">
        <v>100</v>
      </c>
      <c r="J25" s="1">
        <v>59362767</v>
      </c>
      <c r="L25" s="1" t="s">
        <v>82</v>
      </c>
      <c r="M25" s="1" t="s">
        <v>82</v>
      </c>
      <c r="N25" s="1" t="s">
        <v>22</v>
      </c>
      <c r="O25" s="1">
        <v>1</v>
      </c>
      <c r="P25" s="1" t="b">
        <v>1</v>
      </c>
      <c r="R25" s="1">
        <f t="shared" si="2"/>
        <v>0</v>
      </c>
      <c r="T25" s="1">
        <f t="shared" si="0"/>
        <v>0</v>
      </c>
      <c r="U25" s="1">
        <f t="shared" si="1"/>
        <v>0</v>
      </c>
    </row>
    <row r="26" spans="1:21" x14ac:dyDescent="0.25">
      <c r="A26" s="1" t="s">
        <v>83</v>
      </c>
      <c r="B26" s="1" t="s">
        <v>75</v>
      </c>
      <c r="C26" s="1" t="s">
        <v>34</v>
      </c>
      <c r="D26" s="2">
        <v>44902</v>
      </c>
      <c r="E26" s="2">
        <v>45209</v>
      </c>
      <c r="F26" s="2">
        <v>44902</v>
      </c>
      <c r="G26" s="2">
        <v>45209</v>
      </c>
      <c r="H26" s="1" t="s">
        <v>20</v>
      </c>
      <c r="I26" s="1">
        <v>100</v>
      </c>
      <c r="J26" s="1">
        <v>98937945</v>
      </c>
      <c r="L26" s="1" t="s">
        <v>84</v>
      </c>
      <c r="M26" s="1" t="s">
        <v>84</v>
      </c>
      <c r="N26" s="1" t="s">
        <v>22</v>
      </c>
      <c r="O26" s="1">
        <v>1</v>
      </c>
      <c r="P26" s="1" t="b">
        <v>1</v>
      </c>
      <c r="Q26" s="1" t="s">
        <v>29</v>
      </c>
      <c r="R26" s="1">
        <f t="shared" si="2"/>
        <v>0</v>
      </c>
      <c r="T26" s="1">
        <f t="shared" si="0"/>
        <v>0</v>
      </c>
      <c r="U26" s="1">
        <f t="shared" si="1"/>
        <v>0</v>
      </c>
    </row>
    <row r="27" spans="1:21" x14ac:dyDescent="0.25">
      <c r="A27" s="1" t="s">
        <v>85</v>
      </c>
      <c r="B27" s="1" t="s">
        <v>75</v>
      </c>
      <c r="C27" s="1" t="s">
        <v>37</v>
      </c>
      <c r="D27" s="2">
        <v>45209</v>
      </c>
      <c r="E27" s="2">
        <v>45332</v>
      </c>
      <c r="F27" s="2">
        <v>45209</v>
      </c>
      <c r="G27" s="2">
        <v>45332</v>
      </c>
      <c r="H27" s="1" t="s">
        <v>20</v>
      </c>
      <c r="I27" s="1">
        <v>100</v>
      </c>
      <c r="J27" s="1">
        <v>39575178</v>
      </c>
      <c r="L27" s="1" t="s">
        <v>86</v>
      </c>
      <c r="M27" s="1" t="s">
        <v>86</v>
      </c>
      <c r="N27" s="1" t="s">
        <v>22</v>
      </c>
      <c r="O27" s="1">
        <v>1</v>
      </c>
      <c r="P27" s="1" t="b">
        <v>1</v>
      </c>
      <c r="R27" s="1">
        <f t="shared" si="2"/>
        <v>0</v>
      </c>
      <c r="T27" s="1">
        <f t="shared" si="0"/>
        <v>0</v>
      </c>
      <c r="U27" s="1">
        <f t="shared" si="1"/>
        <v>0</v>
      </c>
    </row>
    <row r="28" spans="1:21" x14ac:dyDescent="0.25">
      <c r="A28" s="1" t="s">
        <v>87</v>
      </c>
      <c r="B28" s="1" t="s">
        <v>75</v>
      </c>
      <c r="C28" s="1" t="s">
        <v>41</v>
      </c>
      <c r="D28" s="2">
        <v>45332</v>
      </c>
      <c r="E28" s="2">
        <v>45430</v>
      </c>
      <c r="F28" s="2">
        <v>45332</v>
      </c>
      <c r="G28" s="2">
        <v>45430</v>
      </c>
      <c r="H28" s="1" t="s">
        <v>20</v>
      </c>
      <c r="I28" s="1">
        <v>100</v>
      </c>
      <c r="J28" s="1">
        <v>31660142</v>
      </c>
      <c r="L28" s="1" t="s">
        <v>88</v>
      </c>
      <c r="M28" s="1" t="s">
        <v>88</v>
      </c>
      <c r="N28" s="1" t="s">
        <v>22</v>
      </c>
      <c r="O28" s="1">
        <v>1</v>
      </c>
      <c r="P28" s="1" t="b">
        <v>1</v>
      </c>
      <c r="R28" s="1">
        <f t="shared" si="2"/>
        <v>0</v>
      </c>
      <c r="T28" s="1">
        <f t="shared" si="0"/>
        <v>0</v>
      </c>
      <c r="U28" s="1">
        <f t="shared" si="1"/>
        <v>0</v>
      </c>
    </row>
    <row r="29" spans="1:21" x14ac:dyDescent="0.25">
      <c r="A29" s="1" t="s">
        <v>89</v>
      </c>
      <c r="B29" s="1" t="s">
        <v>75</v>
      </c>
      <c r="C29" s="1" t="s">
        <v>45</v>
      </c>
      <c r="D29" s="2">
        <v>45430</v>
      </c>
      <c r="E29" s="2">
        <v>45553</v>
      </c>
      <c r="F29" s="2">
        <v>45430</v>
      </c>
      <c r="G29" s="2">
        <v>45553</v>
      </c>
      <c r="H29" s="1" t="s">
        <v>20</v>
      </c>
      <c r="I29" s="1">
        <v>100</v>
      </c>
      <c r="J29" s="1">
        <v>39575178</v>
      </c>
      <c r="L29" s="1" t="s">
        <v>90</v>
      </c>
      <c r="M29" s="1" t="s">
        <v>90</v>
      </c>
      <c r="N29" s="1" t="s">
        <v>22</v>
      </c>
      <c r="O29" s="1">
        <v>1</v>
      </c>
      <c r="P29" s="1" t="b">
        <v>1</v>
      </c>
      <c r="R29" s="1">
        <f t="shared" si="2"/>
        <v>0</v>
      </c>
      <c r="T29" s="1">
        <f t="shared" si="0"/>
        <v>0</v>
      </c>
      <c r="U29" s="1">
        <f t="shared" si="1"/>
        <v>0</v>
      </c>
    </row>
    <row r="30" spans="1:21" x14ac:dyDescent="0.25">
      <c r="A30" s="1" t="s">
        <v>91</v>
      </c>
      <c r="B30" s="1" t="s">
        <v>75</v>
      </c>
      <c r="C30" s="1" t="s">
        <v>48</v>
      </c>
      <c r="D30" s="2">
        <v>45553</v>
      </c>
      <c r="E30" s="2">
        <v>45589</v>
      </c>
      <c r="F30" s="2">
        <v>45553</v>
      </c>
      <c r="G30" s="2">
        <v>45589</v>
      </c>
      <c r="H30" s="1" t="s">
        <v>20</v>
      </c>
      <c r="I30" s="1">
        <v>100</v>
      </c>
      <c r="J30" s="1">
        <v>11872553</v>
      </c>
      <c r="L30" s="1" t="s">
        <v>92</v>
      </c>
      <c r="M30" s="1" t="s">
        <v>92</v>
      </c>
      <c r="N30" s="1" t="s">
        <v>22</v>
      </c>
      <c r="O30" s="1">
        <v>1</v>
      </c>
      <c r="P30" s="1" t="b">
        <v>1</v>
      </c>
      <c r="R30" s="1">
        <f t="shared" si="2"/>
        <v>0</v>
      </c>
      <c r="T30" s="1">
        <f t="shared" si="0"/>
        <v>0</v>
      </c>
      <c r="U30" s="1">
        <f t="shared" si="1"/>
        <v>0</v>
      </c>
    </row>
    <row r="31" spans="1:21" x14ac:dyDescent="0.25">
      <c r="A31" s="1" t="s">
        <v>93</v>
      </c>
      <c r="B31" s="1" t="s">
        <v>75</v>
      </c>
      <c r="C31" s="1" t="s">
        <v>51</v>
      </c>
      <c r="D31" s="2">
        <v>45589</v>
      </c>
      <c r="E31" s="2">
        <v>45613</v>
      </c>
      <c r="F31" s="2">
        <v>45589</v>
      </c>
      <c r="G31" s="2">
        <v>45613</v>
      </c>
      <c r="H31" s="1" t="s">
        <v>20</v>
      </c>
      <c r="I31" s="1">
        <v>100</v>
      </c>
      <c r="J31" s="1">
        <v>7915035</v>
      </c>
      <c r="L31" s="1" t="s">
        <v>94</v>
      </c>
      <c r="M31" s="1" t="s">
        <v>94</v>
      </c>
      <c r="N31" s="1" t="s">
        <v>22</v>
      </c>
      <c r="O31" s="1">
        <v>1</v>
      </c>
      <c r="P31" s="1" t="b">
        <v>1</v>
      </c>
      <c r="R31" s="1">
        <f t="shared" si="2"/>
        <v>0</v>
      </c>
      <c r="T31" s="1">
        <f t="shared" si="0"/>
        <v>0</v>
      </c>
      <c r="U31" s="1">
        <f t="shared" si="1"/>
        <v>0</v>
      </c>
    </row>
    <row r="32" spans="1:21" x14ac:dyDescent="0.25">
      <c r="A32" s="1" t="s">
        <v>95</v>
      </c>
      <c r="B32" s="1" t="s">
        <v>96</v>
      </c>
      <c r="C32" s="1" t="s">
        <v>19</v>
      </c>
      <c r="D32" s="2">
        <v>44300</v>
      </c>
      <c r="E32" s="2">
        <v>44330</v>
      </c>
      <c r="F32" s="2">
        <v>44300</v>
      </c>
      <c r="G32" s="2">
        <v>44330</v>
      </c>
      <c r="H32" s="1" t="s">
        <v>20</v>
      </c>
      <c r="I32" s="1">
        <v>100</v>
      </c>
      <c r="J32" s="1">
        <v>5919094</v>
      </c>
      <c r="L32" s="1" t="s">
        <v>97</v>
      </c>
      <c r="M32" s="1" t="s">
        <v>97</v>
      </c>
      <c r="N32" s="1" t="s">
        <v>22</v>
      </c>
      <c r="O32" s="1">
        <v>1</v>
      </c>
      <c r="P32" s="1" t="b">
        <v>1</v>
      </c>
      <c r="R32" s="1">
        <f t="shared" si="2"/>
        <v>0</v>
      </c>
      <c r="T32" s="1">
        <f t="shared" si="0"/>
        <v>0</v>
      </c>
      <c r="U32" s="1">
        <f t="shared" si="1"/>
        <v>0</v>
      </c>
    </row>
    <row r="33" spans="1:21" x14ac:dyDescent="0.25">
      <c r="A33" s="1" t="s">
        <v>98</v>
      </c>
      <c r="B33" s="1" t="s">
        <v>96</v>
      </c>
      <c r="C33" s="1" t="s">
        <v>24</v>
      </c>
      <c r="D33" s="2">
        <v>44330</v>
      </c>
      <c r="E33" s="2">
        <v>44390</v>
      </c>
      <c r="F33" s="2">
        <v>44330</v>
      </c>
      <c r="G33" s="2">
        <v>44390</v>
      </c>
      <c r="H33" s="1" t="s">
        <v>20</v>
      </c>
      <c r="I33" s="1">
        <v>100</v>
      </c>
      <c r="J33" s="1">
        <v>11838189</v>
      </c>
      <c r="L33" s="1" t="s">
        <v>99</v>
      </c>
      <c r="M33" s="1" t="s">
        <v>99</v>
      </c>
      <c r="N33" s="1" t="s">
        <v>22</v>
      </c>
      <c r="O33" s="1">
        <v>1</v>
      </c>
      <c r="P33" s="1" t="b">
        <v>1</v>
      </c>
      <c r="R33" s="1">
        <f t="shared" si="2"/>
        <v>0</v>
      </c>
      <c r="T33" s="1">
        <f t="shared" si="0"/>
        <v>0</v>
      </c>
      <c r="U33" s="1">
        <f t="shared" si="1"/>
        <v>0</v>
      </c>
    </row>
    <row r="34" spans="1:21" x14ac:dyDescent="0.25">
      <c r="A34" s="1" t="s">
        <v>100</v>
      </c>
      <c r="B34" s="1" t="s">
        <v>96</v>
      </c>
      <c r="C34" s="1" t="s">
        <v>27</v>
      </c>
      <c r="D34" s="2">
        <v>44390</v>
      </c>
      <c r="E34" s="2">
        <v>44462</v>
      </c>
      <c r="F34" s="2">
        <v>44390</v>
      </c>
      <c r="G34" s="2">
        <v>44462</v>
      </c>
      <c r="H34" s="1" t="s">
        <v>20</v>
      </c>
      <c r="I34" s="1">
        <v>100</v>
      </c>
      <c r="J34" s="1">
        <v>14205826</v>
      </c>
      <c r="L34" s="1" t="s">
        <v>101</v>
      </c>
      <c r="M34" s="1" t="s">
        <v>101</v>
      </c>
      <c r="N34" s="1" t="s">
        <v>22</v>
      </c>
      <c r="O34" s="1">
        <v>1</v>
      </c>
      <c r="P34" s="1" t="b">
        <v>1</v>
      </c>
      <c r="Q34" s="1" t="s">
        <v>29</v>
      </c>
      <c r="R34" s="1">
        <f t="shared" si="2"/>
        <v>0</v>
      </c>
      <c r="T34" s="1">
        <f t="shared" si="0"/>
        <v>0</v>
      </c>
      <c r="U34" s="1">
        <f t="shared" si="1"/>
        <v>0</v>
      </c>
    </row>
    <row r="35" spans="1:21" x14ac:dyDescent="0.25">
      <c r="A35" s="1" t="s">
        <v>102</v>
      </c>
      <c r="B35" s="1" t="s">
        <v>96</v>
      </c>
      <c r="C35" s="1" t="s">
        <v>31</v>
      </c>
      <c r="D35" s="2">
        <v>44462</v>
      </c>
      <c r="E35" s="2">
        <v>44552</v>
      </c>
      <c r="F35" s="2">
        <v>44462</v>
      </c>
      <c r="G35" s="2">
        <v>44552</v>
      </c>
      <c r="H35" s="1" t="s">
        <v>20</v>
      </c>
      <c r="I35" s="1">
        <v>100</v>
      </c>
      <c r="J35" s="1">
        <v>17757283</v>
      </c>
      <c r="L35" s="1" t="s">
        <v>103</v>
      </c>
      <c r="M35" s="1" t="s">
        <v>103</v>
      </c>
      <c r="N35" s="1" t="s">
        <v>22</v>
      </c>
      <c r="O35" s="1">
        <v>1</v>
      </c>
      <c r="P35" s="1" t="b">
        <v>1</v>
      </c>
      <c r="R35" s="1">
        <f t="shared" si="2"/>
        <v>0</v>
      </c>
      <c r="T35" s="1">
        <f t="shared" si="0"/>
        <v>0</v>
      </c>
      <c r="U35" s="1">
        <f t="shared" si="1"/>
        <v>0</v>
      </c>
    </row>
    <row r="36" spans="1:21" x14ac:dyDescent="0.25">
      <c r="A36" s="1" t="s">
        <v>104</v>
      </c>
      <c r="B36" s="1" t="s">
        <v>96</v>
      </c>
      <c r="C36" s="1" t="s">
        <v>34</v>
      </c>
      <c r="D36" s="2">
        <v>44552</v>
      </c>
      <c r="E36" s="2">
        <v>44702</v>
      </c>
      <c r="F36" s="2">
        <v>44552</v>
      </c>
      <c r="G36" s="2">
        <v>44702</v>
      </c>
      <c r="H36" s="1" t="s">
        <v>20</v>
      </c>
      <c r="I36" s="1">
        <v>100</v>
      </c>
      <c r="J36" s="1">
        <v>29595472</v>
      </c>
      <c r="L36" s="1" t="s">
        <v>105</v>
      </c>
      <c r="M36" s="1" t="s">
        <v>105</v>
      </c>
      <c r="N36" s="1" t="s">
        <v>22</v>
      </c>
      <c r="O36" s="1">
        <v>1</v>
      </c>
      <c r="P36" s="1" t="b">
        <v>1</v>
      </c>
      <c r="Q36" s="1" t="s">
        <v>29</v>
      </c>
      <c r="R36" s="1">
        <f t="shared" si="2"/>
        <v>0</v>
      </c>
      <c r="T36" s="1">
        <f t="shared" si="0"/>
        <v>0</v>
      </c>
      <c r="U36" s="1">
        <f t="shared" si="1"/>
        <v>0</v>
      </c>
    </row>
    <row r="37" spans="1:21" x14ac:dyDescent="0.25">
      <c r="A37" s="1" t="s">
        <v>106</v>
      </c>
      <c r="B37" s="1" t="s">
        <v>96</v>
      </c>
      <c r="C37" s="1" t="s">
        <v>37</v>
      </c>
      <c r="D37" s="2">
        <v>44702</v>
      </c>
      <c r="E37" s="2">
        <v>44762</v>
      </c>
      <c r="F37" s="2">
        <v>44702</v>
      </c>
      <c r="G37" s="2">
        <v>44762</v>
      </c>
      <c r="H37" s="1" t="s">
        <v>20</v>
      </c>
      <c r="I37" s="1">
        <v>100</v>
      </c>
      <c r="J37" s="1">
        <v>11838189</v>
      </c>
      <c r="L37" s="1" t="s">
        <v>107</v>
      </c>
      <c r="M37" s="1" t="s">
        <v>107</v>
      </c>
      <c r="N37" s="1" t="s">
        <v>22</v>
      </c>
      <c r="O37" s="1">
        <v>1</v>
      </c>
      <c r="P37" s="1" t="b">
        <v>1</v>
      </c>
      <c r="R37" s="1">
        <f t="shared" si="2"/>
        <v>0</v>
      </c>
      <c r="T37" s="1">
        <f t="shared" si="0"/>
        <v>0</v>
      </c>
      <c r="U37" s="1">
        <f t="shared" si="1"/>
        <v>0</v>
      </c>
    </row>
    <row r="38" spans="1:21" x14ac:dyDescent="0.25">
      <c r="A38" s="1" t="s">
        <v>108</v>
      </c>
      <c r="B38" s="1" t="s">
        <v>96</v>
      </c>
      <c r="C38" s="1" t="s">
        <v>41</v>
      </c>
      <c r="D38" s="2">
        <v>44762</v>
      </c>
      <c r="E38" s="2">
        <v>44810</v>
      </c>
      <c r="F38" s="2">
        <v>44762</v>
      </c>
      <c r="G38" s="2">
        <v>44810</v>
      </c>
      <c r="H38" s="1" t="s">
        <v>20</v>
      </c>
      <c r="I38" s="1">
        <v>100</v>
      </c>
      <c r="J38" s="1">
        <v>9470551</v>
      </c>
      <c r="L38" s="1" t="s">
        <v>109</v>
      </c>
      <c r="M38" s="1" t="s">
        <v>109</v>
      </c>
      <c r="N38" s="1" t="s">
        <v>22</v>
      </c>
      <c r="O38" s="1">
        <v>1</v>
      </c>
      <c r="P38" s="1" t="b">
        <v>1</v>
      </c>
      <c r="R38" s="1">
        <f t="shared" si="2"/>
        <v>0</v>
      </c>
      <c r="T38" s="1">
        <f t="shared" si="0"/>
        <v>0</v>
      </c>
      <c r="U38" s="1">
        <f t="shared" si="1"/>
        <v>0</v>
      </c>
    </row>
    <row r="39" spans="1:21" x14ac:dyDescent="0.25">
      <c r="A39" s="1" t="s">
        <v>110</v>
      </c>
      <c r="B39" s="1" t="s">
        <v>96</v>
      </c>
      <c r="C39" s="1" t="s">
        <v>45</v>
      </c>
      <c r="D39" s="2">
        <v>44810</v>
      </c>
      <c r="E39" s="2">
        <v>44870</v>
      </c>
      <c r="F39" s="2">
        <v>44810</v>
      </c>
      <c r="G39" s="2">
        <v>44870</v>
      </c>
      <c r="H39" s="1" t="s">
        <v>20</v>
      </c>
      <c r="I39" s="1">
        <v>100</v>
      </c>
      <c r="J39" s="1">
        <v>11838189</v>
      </c>
      <c r="L39" s="1" t="s">
        <v>111</v>
      </c>
      <c r="M39" s="1" t="s">
        <v>111</v>
      </c>
      <c r="N39" s="1" t="s">
        <v>22</v>
      </c>
      <c r="O39" s="1">
        <v>1</v>
      </c>
      <c r="P39" s="1" t="b">
        <v>1</v>
      </c>
      <c r="R39" s="1">
        <f t="shared" si="2"/>
        <v>0</v>
      </c>
      <c r="T39" s="1">
        <f t="shared" si="0"/>
        <v>0</v>
      </c>
      <c r="U39" s="1">
        <f t="shared" si="1"/>
        <v>0</v>
      </c>
    </row>
    <row r="40" spans="1:21" x14ac:dyDescent="0.25">
      <c r="A40" s="1" t="s">
        <v>112</v>
      </c>
      <c r="B40" s="1" t="s">
        <v>96</v>
      </c>
      <c r="C40" s="1" t="s">
        <v>48</v>
      </c>
      <c r="D40" s="2">
        <v>44870</v>
      </c>
      <c r="E40" s="2">
        <v>44888</v>
      </c>
      <c r="F40" s="2">
        <v>44870</v>
      </c>
      <c r="G40" s="2">
        <v>44888</v>
      </c>
      <c r="H40" s="1" t="s">
        <v>20</v>
      </c>
      <c r="I40" s="1">
        <v>100</v>
      </c>
      <c r="J40" s="1">
        <v>3551456</v>
      </c>
      <c r="L40" s="1" t="s">
        <v>113</v>
      </c>
      <c r="M40" s="1" t="s">
        <v>113</v>
      </c>
      <c r="N40" s="1" t="s">
        <v>22</v>
      </c>
      <c r="O40" s="1">
        <v>1</v>
      </c>
      <c r="P40" s="1" t="b">
        <v>1</v>
      </c>
      <c r="R40" s="1">
        <f t="shared" si="2"/>
        <v>0</v>
      </c>
      <c r="T40" s="1">
        <f t="shared" si="0"/>
        <v>0</v>
      </c>
      <c r="U40" s="1">
        <f t="shared" si="1"/>
        <v>0</v>
      </c>
    </row>
    <row r="41" spans="1:21" x14ac:dyDescent="0.25">
      <c r="A41" s="1" t="s">
        <v>114</v>
      </c>
      <c r="B41" s="1" t="s">
        <v>96</v>
      </c>
      <c r="C41" s="1" t="s">
        <v>51</v>
      </c>
      <c r="D41" s="2">
        <v>44888</v>
      </c>
      <c r="E41" s="2">
        <v>44900</v>
      </c>
      <c r="F41" s="2">
        <v>44888</v>
      </c>
      <c r="G41" s="2">
        <v>44900</v>
      </c>
      <c r="H41" s="1" t="s">
        <v>20</v>
      </c>
      <c r="I41" s="1">
        <v>100</v>
      </c>
      <c r="J41" s="1">
        <v>2367637</v>
      </c>
      <c r="L41" s="1" t="s">
        <v>115</v>
      </c>
      <c r="M41" s="1" t="s">
        <v>115</v>
      </c>
      <c r="N41" s="1" t="s">
        <v>22</v>
      </c>
      <c r="O41" s="1">
        <v>1</v>
      </c>
      <c r="P41" s="1" t="b">
        <v>1</v>
      </c>
      <c r="R41" s="1">
        <f t="shared" si="2"/>
        <v>0</v>
      </c>
      <c r="T41" s="1">
        <f t="shared" si="0"/>
        <v>0</v>
      </c>
      <c r="U41" s="1">
        <f t="shared" si="1"/>
        <v>0</v>
      </c>
    </row>
    <row r="42" spans="1:21" x14ac:dyDescent="0.25">
      <c r="A42" s="1" t="s">
        <v>116</v>
      </c>
      <c r="B42" s="1" t="s">
        <v>117</v>
      </c>
      <c r="C42" s="1" t="s">
        <v>19</v>
      </c>
      <c r="D42" s="2">
        <v>43929</v>
      </c>
      <c r="E42" s="2">
        <v>43951</v>
      </c>
      <c r="F42" s="2">
        <v>43929</v>
      </c>
      <c r="G42" s="2">
        <v>43951</v>
      </c>
      <c r="H42" s="1" t="s">
        <v>20</v>
      </c>
      <c r="I42" s="1">
        <v>100</v>
      </c>
      <c r="J42" s="1">
        <v>16193027</v>
      </c>
      <c r="L42" s="1" t="s">
        <v>118</v>
      </c>
      <c r="M42" s="1" t="s">
        <v>118</v>
      </c>
      <c r="N42" s="1" t="s">
        <v>22</v>
      </c>
      <c r="O42" s="1">
        <v>1</v>
      </c>
      <c r="P42" s="1" t="b">
        <v>1</v>
      </c>
      <c r="R42" s="1">
        <f t="shared" si="2"/>
        <v>0</v>
      </c>
      <c r="T42" s="1">
        <f t="shared" si="0"/>
        <v>0</v>
      </c>
      <c r="U42" s="1">
        <f t="shared" si="1"/>
        <v>0</v>
      </c>
    </row>
    <row r="43" spans="1:21" x14ac:dyDescent="0.25">
      <c r="A43" s="1" t="s">
        <v>119</v>
      </c>
      <c r="B43" s="1" t="s">
        <v>117</v>
      </c>
      <c r="C43" s="1" t="s">
        <v>24</v>
      </c>
      <c r="D43" s="2">
        <v>43951</v>
      </c>
      <c r="E43" s="2">
        <v>43996</v>
      </c>
      <c r="F43" s="2">
        <v>43951</v>
      </c>
      <c r="G43" s="2">
        <v>43996</v>
      </c>
      <c r="H43" s="1" t="s">
        <v>20</v>
      </c>
      <c r="I43" s="1">
        <v>100</v>
      </c>
      <c r="J43" s="1">
        <v>32386055</v>
      </c>
      <c r="L43" s="1" t="s">
        <v>120</v>
      </c>
      <c r="M43" s="1" t="s">
        <v>120</v>
      </c>
      <c r="N43" s="1" t="s">
        <v>22</v>
      </c>
      <c r="O43" s="1">
        <v>1</v>
      </c>
      <c r="P43" s="1" t="b">
        <v>1</v>
      </c>
      <c r="R43" s="1">
        <f t="shared" si="2"/>
        <v>0</v>
      </c>
      <c r="T43" s="1">
        <f t="shared" si="0"/>
        <v>0</v>
      </c>
      <c r="U43" s="1">
        <f t="shared" si="1"/>
        <v>0</v>
      </c>
    </row>
    <row r="44" spans="1:21" x14ac:dyDescent="0.25">
      <c r="A44" s="1" t="s">
        <v>121</v>
      </c>
      <c r="B44" s="1" t="s">
        <v>117</v>
      </c>
      <c r="C44" s="1" t="s">
        <v>27</v>
      </c>
      <c r="D44" s="2">
        <v>43996</v>
      </c>
      <c r="E44" s="2">
        <v>44050</v>
      </c>
      <c r="F44" s="2">
        <v>43996</v>
      </c>
      <c r="G44" s="2">
        <v>44050</v>
      </c>
      <c r="H44" s="1" t="s">
        <v>20</v>
      </c>
      <c r="I44" s="1">
        <v>100</v>
      </c>
      <c r="J44" s="1">
        <v>38863266</v>
      </c>
      <c r="L44" s="1" t="s">
        <v>122</v>
      </c>
      <c r="M44" s="1" t="s">
        <v>122</v>
      </c>
      <c r="N44" s="1" t="s">
        <v>22</v>
      </c>
      <c r="O44" s="1">
        <v>1</v>
      </c>
      <c r="P44" s="1" t="b">
        <v>1</v>
      </c>
      <c r="Q44" s="1" t="s">
        <v>29</v>
      </c>
      <c r="R44" s="1">
        <f t="shared" si="2"/>
        <v>0</v>
      </c>
      <c r="T44" s="1">
        <f t="shared" si="0"/>
        <v>0</v>
      </c>
      <c r="U44" s="1">
        <f t="shared" si="1"/>
        <v>0</v>
      </c>
    </row>
    <row r="45" spans="1:21" x14ac:dyDescent="0.25">
      <c r="A45" s="1" t="s">
        <v>123</v>
      </c>
      <c r="B45" s="1" t="s">
        <v>117</v>
      </c>
      <c r="C45" s="1" t="s">
        <v>31</v>
      </c>
      <c r="D45" s="2">
        <v>44050</v>
      </c>
      <c r="E45" s="2">
        <v>44117</v>
      </c>
      <c r="F45" s="2">
        <v>44050</v>
      </c>
      <c r="G45" s="2">
        <v>44117</v>
      </c>
      <c r="H45" s="1" t="s">
        <v>20</v>
      </c>
      <c r="I45" s="1">
        <v>100</v>
      </c>
      <c r="J45" s="1">
        <v>48579083</v>
      </c>
      <c r="L45" s="1" t="s">
        <v>124</v>
      </c>
      <c r="M45" s="1" t="s">
        <v>124</v>
      </c>
      <c r="N45" s="1" t="s">
        <v>22</v>
      </c>
      <c r="O45" s="1">
        <v>1</v>
      </c>
      <c r="P45" s="1" t="b">
        <v>1</v>
      </c>
      <c r="R45" s="1">
        <f t="shared" si="2"/>
        <v>0</v>
      </c>
      <c r="T45" s="1">
        <f t="shared" si="0"/>
        <v>0</v>
      </c>
      <c r="U45" s="1">
        <f t="shared" si="1"/>
        <v>0</v>
      </c>
    </row>
    <row r="46" spans="1:21" x14ac:dyDescent="0.25">
      <c r="A46" s="1" t="s">
        <v>125</v>
      </c>
      <c r="B46" s="1" t="s">
        <v>117</v>
      </c>
      <c r="C46" s="1" t="s">
        <v>34</v>
      </c>
      <c r="D46" s="2">
        <v>44117</v>
      </c>
      <c r="E46" s="2">
        <v>44229</v>
      </c>
      <c r="F46" s="2">
        <v>44117</v>
      </c>
      <c r="G46" s="2">
        <v>44229</v>
      </c>
      <c r="H46" s="1" t="s">
        <v>20</v>
      </c>
      <c r="I46" s="1">
        <v>100</v>
      </c>
      <c r="J46" s="1">
        <v>80965138</v>
      </c>
      <c r="L46" s="1" t="s">
        <v>126</v>
      </c>
      <c r="M46" s="1" t="s">
        <v>126</v>
      </c>
      <c r="N46" s="1" t="s">
        <v>22</v>
      </c>
      <c r="O46" s="1">
        <v>1</v>
      </c>
      <c r="P46" s="1" t="b">
        <v>1</v>
      </c>
      <c r="Q46" s="1" t="s">
        <v>29</v>
      </c>
      <c r="R46" s="1">
        <f t="shared" si="2"/>
        <v>0</v>
      </c>
      <c r="T46" s="1">
        <f t="shared" si="0"/>
        <v>0</v>
      </c>
      <c r="U46" s="1">
        <f t="shared" si="1"/>
        <v>0</v>
      </c>
    </row>
    <row r="47" spans="1:21" x14ac:dyDescent="0.25">
      <c r="A47" s="1" t="s">
        <v>127</v>
      </c>
      <c r="B47" s="1" t="s">
        <v>117</v>
      </c>
      <c r="C47" s="1" t="s">
        <v>37</v>
      </c>
      <c r="D47" s="2">
        <v>44229</v>
      </c>
      <c r="E47" s="2">
        <v>44274</v>
      </c>
      <c r="F47" s="2">
        <v>44229</v>
      </c>
      <c r="G47" s="2">
        <v>44274</v>
      </c>
      <c r="H47" s="1" t="s">
        <v>20</v>
      </c>
      <c r="I47" s="1">
        <v>100</v>
      </c>
      <c r="J47" s="1">
        <v>32386055</v>
      </c>
      <c r="L47" s="1" t="s">
        <v>128</v>
      </c>
      <c r="M47" s="1" t="s">
        <v>128</v>
      </c>
      <c r="N47" s="1" t="s">
        <v>22</v>
      </c>
      <c r="O47" s="1">
        <v>1</v>
      </c>
      <c r="P47" s="1" t="b">
        <v>1</v>
      </c>
      <c r="R47" s="1">
        <f t="shared" si="2"/>
        <v>0</v>
      </c>
      <c r="T47" s="1">
        <f t="shared" si="0"/>
        <v>0</v>
      </c>
      <c r="U47" s="1">
        <f t="shared" si="1"/>
        <v>0</v>
      </c>
    </row>
    <row r="48" spans="1:21" x14ac:dyDescent="0.25">
      <c r="A48" s="1" t="s">
        <v>129</v>
      </c>
      <c r="B48" s="1" t="s">
        <v>117</v>
      </c>
      <c r="C48" s="1" t="s">
        <v>41</v>
      </c>
      <c r="D48" s="2">
        <v>44274</v>
      </c>
      <c r="E48" s="2">
        <v>44310</v>
      </c>
      <c r="F48" s="2">
        <v>44274</v>
      </c>
      <c r="G48" s="2">
        <v>44310</v>
      </c>
      <c r="H48" s="1" t="s">
        <v>20</v>
      </c>
      <c r="I48" s="1">
        <v>100</v>
      </c>
      <c r="J48" s="1">
        <v>25908844</v>
      </c>
      <c r="L48" s="1" t="s">
        <v>130</v>
      </c>
      <c r="M48" s="1" t="s">
        <v>130</v>
      </c>
      <c r="N48" s="1" t="s">
        <v>22</v>
      </c>
      <c r="O48" s="1">
        <v>1</v>
      </c>
      <c r="P48" s="1" t="b">
        <v>1</v>
      </c>
      <c r="R48" s="1">
        <f t="shared" si="2"/>
        <v>0</v>
      </c>
      <c r="T48" s="1">
        <f t="shared" si="0"/>
        <v>0</v>
      </c>
      <c r="U48" s="1">
        <f t="shared" si="1"/>
        <v>0</v>
      </c>
    </row>
    <row r="49" spans="1:21" x14ac:dyDescent="0.25">
      <c r="A49" s="1" t="s">
        <v>131</v>
      </c>
      <c r="B49" s="1" t="s">
        <v>117</v>
      </c>
      <c r="C49" s="1" t="s">
        <v>45</v>
      </c>
      <c r="D49" s="2">
        <v>44310</v>
      </c>
      <c r="E49" s="2">
        <v>44355</v>
      </c>
      <c r="F49" s="2">
        <v>44310</v>
      </c>
      <c r="G49" s="2">
        <v>44355</v>
      </c>
      <c r="H49" s="1" t="s">
        <v>20</v>
      </c>
      <c r="I49" s="1">
        <v>100</v>
      </c>
      <c r="J49" s="1">
        <v>32386055</v>
      </c>
      <c r="L49" s="1" t="s">
        <v>132</v>
      </c>
      <c r="M49" s="1" t="s">
        <v>132</v>
      </c>
      <c r="N49" s="1" t="s">
        <v>22</v>
      </c>
      <c r="O49" s="1">
        <v>1</v>
      </c>
      <c r="P49" s="1" t="b">
        <v>1</v>
      </c>
      <c r="R49" s="1">
        <f t="shared" si="2"/>
        <v>0</v>
      </c>
      <c r="T49" s="1">
        <f t="shared" si="0"/>
        <v>0</v>
      </c>
      <c r="U49" s="1">
        <f t="shared" si="1"/>
        <v>0</v>
      </c>
    </row>
    <row r="50" spans="1:21" x14ac:dyDescent="0.25">
      <c r="A50" s="1" t="s">
        <v>133</v>
      </c>
      <c r="B50" s="1" t="s">
        <v>117</v>
      </c>
      <c r="C50" s="1" t="s">
        <v>48</v>
      </c>
      <c r="D50" s="2">
        <v>44355</v>
      </c>
      <c r="E50" s="2">
        <v>44368</v>
      </c>
      <c r="F50" s="2">
        <v>44355</v>
      </c>
      <c r="G50" s="2">
        <v>44368</v>
      </c>
      <c r="H50" s="1" t="s">
        <v>20</v>
      </c>
      <c r="I50" s="1">
        <v>100</v>
      </c>
      <c r="J50" s="1">
        <v>9715816</v>
      </c>
      <c r="L50" s="1" t="s">
        <v>134</v>
      </c>
      <c r="M50" s="1" t="s">
        <v>134</v>
      </c>
      <c r="N50" s="1" t="s">
        <v>22</v>
      </c>
      <c r="O50" s="1">
        <v>1</v>
      </c>
      <c r="P50" s="1" t="b">
        <v>1</v>
      </c>
      <c r="R50" s="1">
        <f t="shared" si="2"/>
        <v>0</v>
      </c>
      <c r="T50" s="1">
        <f t="shared" si="0"/>
        <v>0</v>
      </c>
      <c r="U50" s="1">
        <f t="shared" si="1"/>
        <v>0</v>
      </c>
    </row>
    <row r="51" spans="1:21" x14ac:dyDescent="0.25">
      <c r="A51" s="1" t="s">
        <v>135</v>
      </c>
      <c r="B51" s="1" t="s">
        <v>117</v>
      </c>
      <c r="C51" s="1" t="s">
        <v>51</v>
      </c>
      <c r="D51" s="2">
        <v>44368</v>
      </c>
      <c r="E51" s="2">
        <v>44377</v>
      </c>
      <c r="F51" s="2">
        <v>44368</v>
      </c>
      <c r="G51" s="2">
        <v>44377</v>
      </c>
      <c r="H51" s="1" t="s">
        <v>20</v>
      </c>
      <c r="I51" s="1">
        <v>100</v>
      </c>
      <c r="J51" s="1">
        <v>6477211</v>
      </c>
      <c r="L51" s="1" t="s">
        <v>136</v>
      </c>
      <c r="M51" s="1" t="s">
        <v>136</v>
      </c>
      <c r="N51" s="1" t="s">
        <v>22</v>
      </c>
      <c r="O51" s="1">
        <v>1</v>
      </c>
      <c r="P51" s="1" t="b">
        <v>1</v>
      </c>
      <c r="R51" s="1">
        <f t="shared" si="2"/>
        <v>0</v>
      </c>
      <c r="T51" s="1">
        <f t="shared" si="0"/>
        <v>0</v>
      </c>
      <c r="U51" s="1">
        <f t="shared" si="1"/>
        <v>0</v>
      </c>
    </row>
    <row r="52" spans="1:21" x14ac:dyDescent="0.25">
      <c r="A52" s="1" t="s">
        <v>137</v>
      </c>
      <c r="B52" s="1" t="s">
        <v>138</v>
      </c>
      <c r="C52" s="1" t="s">
        <v>19</v>
      </c>
      <c r="D52" s="2">
        <v>44961</v>
      </c>
      <c r="E52" s="2">
        <v>45024</v>
      </c>
      <c r="F52" s="2">
        <v>44961</v>
      </c>
      <c r="G52" s="2">
        <v>45024</v>
      </c>
      <c r="H52" s="1" t="s">
        <v>20</v>
      </c>
      <c r="I52" s="1">
        <v>100</v>
      </c>
      <c r="J52" s="1">
        <v>19090631</v>
      </c>
      <c r="L52" s="1" t="s">
        <v>139</v>
      </c>
      <c r="M52" s="1" t="s">
        <v>139</v>
      </c>
      <c r="N52" s="1" t="s">
        <v>22</v>
      </c>
      <c r="O52" s="1">
        <v>1</v>
      </c>
      <c r="P52" s="1" t="b">
        <v>1</v>
      </c>
      <c r="R52" s="1">
        <f t="shared" si="2"/>
        <v>0</v>
      </c>
      <c r="T52" s="1">
        <f t="shared" si="0"/>
        <v>0</v>
      </c>
      <c r="U52" s="1">
        <f t="shared" si="1"/>
        <v>0</v>
      </c>
    </row>
    <row r="53" spans="1:21" x14ac:dyDescent="0.25">
      <c r="A53" s="1" t="s">
        <v>140</v>
      </c>
      <c r="B53" s="1" t="s">
        <v>138</v>
      </c>
      <c r="C53" s="1" t="s">
        <v>24</v>
      </c>
      <c r="D53" s="2">
        <v>45024</v>
      </c>
      <c r="E53" s="2">
        <v>45150</v>
      </c>
      <c r="F53" s="2">
        <v>45024</v>
      </c>
      <c r="G53" s="2">
        <v>45150</v>
      </c>
      <c r="H53" s="1" t="s">
        <v>20</v>
      </c>
      <c r="I53" s="1">
        <v>100</v>
      </c>
      <c r="J53" s="1">
        <v>38181263</v>
      </c>
      <c r="L53" s="1" t="s">
        <v>141</v>
      </c>
      <c r="M53" s="1" t="s">
        <v>141</v>
      </c>
      <c r="N53" s="1" t="s">
        <v>22</v>
      </c>
      <c r="O53" s="1">
        <v>1</v>
      </c>
      <c r="P53" s="1" t="b">
        <v>1</v>
      </c>
      <c r="R53" s="1">
        <f t="shared" si="2"/>
        <v>0</v>
      </c>
      <c r="T53" s="1">
        <f t="shared" si="0"/>
        <v>0</v>
      </c>
      <c r="U53" s="1">
        <f t="shared" si="1"/>
        <v>0</v>
      </c>
    </row>
    <row r="54" spans="1:21" x14ac:dyDescent="0.25">
      <c r="A54" s="1" t="s">
        <v>142</v>
      </c>
      <c r="B54" s="1" t="s">
        <v>138</v>
      </c>
      <c r="C54" s="1" t="s">
        <v>27</v>
      </c>
      <c r="D54" s="2">
        <v>45150</v>
      </c>
      <c r="E54" s="2">
        <v>45301</v>
      </c>
      <c r="F54" s="2">
        <v>45150</v>
      </c>
      <c r="G54" s="2">
        <v>45301</v>
      </c>
      <c r="H54" s="1" t="s">
        <v>20</v>
      </c>
      <c r="I54" s="1">
        <v>100</v>
      </c>
      <c r="J54" s="1">
        <v>45817515</v>
      </c>
      <c r="L54" s="1" t="s">
        <v>143</v>
      </c>
      <c r="M54" s="1" t="s">
        <v>143</v>
      </c>
      <c r="N54" s="1" t="s">
        <v>22</v>
      </c>
      <c r="O54" s="1">
        <v>1</v>
      </c>
      <c r="P54" s="1" t="b">
        <v>1</v>
      </c>
      <c r="Q54" s="1" t="s">
        <v>29</v>
      </c>
      <c r="R54" s="1">
        <f t="shared" si="2"/>
        <v>0</v>
      </c>
      <c r="T54" s="1">
        <f t="shared" si="0"/>
        <v>0</v>
      </c>
      <c r="U54" s="1">
        <f t="shared" si="1"/>
        <v>0</v>
      </c>
    </row>
    <row r="55" spans="1:21" x14ac:dyDescent="0.25">
      <c r="A55" s="1" t="s">
        <v>144</v>
      </c>
      <c r="B55" s="1" t="s">
        <v>138</v>
      </c>
      <c r="C55" s="1" t="s">
        <v>31</v>
      </c>
      <c r="D55" s="2">
        <v>45301</v>
      </c>
      <c r="E55" s="2">
        <v>45490</v>
      </c>
      <c r="F55" s="2">
        <v>45301</v>
      </c>
      <c r="G55" s="2">
        <v>45490</v>
      </c>
      <c r="H55" s="1" t="s">
        <v>20</v>
      </c>
      <c r="I55" s="1">
        <v>100</v>
      </c>
      <c r="J55" s="1">
        <v>57271894</v>
      </c>
      <c r="L55" s="1" t="s">
        <v>145</v>
      </c>
      <c r="M55" s="1" t="s">
        <v>145</v>
      </c>
      <c r="N55" s="1" t="s">
        <v>22</v>
      </c>
      <c r="O55" s="1">
        <v>1</v>
      </c>
      <c r="P55" s="1" t="b">
        <v>1</v>
      </c>
      <c r="R55" s="1">
        <f t="shared" si="2"/>
        <v>0</v>
      </c>
      <c r="T55" s="1">
        <f t="shared" si="0"/>
        <v>0</v>
      </c>
      <c r="U55" s="1">
        <f t="shared" si="1"/>
        <v>0</v>
      </c>
    </row>
    <row r="56" spans="1:21" x14ac:dyDescent="0.25">
      <c r="A56" s="1" t="s">
        <v>146</v>
      </c>
      <c r="B56" s="1" t="s">
        <v>138</v>
      </c>
      <c r="C56" s="1" t="s">
        <v>34</v>
      </c>
      <c r="D56" s="2">
        <v>45490</v>
      </c>
      <c r="E56" s="2">
        <v>45805</v>
      </c>
      <c r="F56" s="2">
        <v>45490</v>
      </c>
      <c r="G56" s="2">
        <v>45805</v>
      </c>
      <c r="H56" s="1" t="s">
        <v>20</v>
      </c>
      <c r="I56" s="1">
        <v>100</v>
      </c>
      <c r="J56" s="1">
        <v>95453157</v>
      </c>
      <c r="L56" s="1" t="s">
        <v>147</v>
      </c>
      <c r="M56" s="1" t="s">
        <v>147</v>
      </c>
      <c r="N56" s="1" t="s">
        <v>22</v>
      </c>
      <c r="O56" s="1">
        <v>1</v>
      </c>
      <c r="P56" s="1" t="b">
        <v>1</v>
      </c>
      <c r="Q56" s="1" t="s">
        <v>29</v>
      </c>
      <c r="R56" s="1">
        <f t="shared" si="2"/>
        <v>0</v>
      </c>
      <c r="T56" s="1">
        <f t="shared" si="0"/>
        <v>0</v>
      </c>
      <c r="U56" s="1">
        <f t="shared" si="1"/>
        <v>0</v>
      </c>
    </row>
    <row r="57" spans="1:21" x14ac:dyDescent="0.25">
      <c r="A57" s="1" t="s">
        <v>148</v>
      </c>
      <c r="B57" s="1" t="s">
        <v>138</v>
      </c>
      <c r="C57" s="1" t="s">
        <v>37</v>
      </c>
      <c r="D57" s="2">
        <v>45805</v>
      </c>
      <c r="E57" s="2">
        <v>45931</v>
      </c>
      <c r="F57" s="2">
        <v>45805</v>
      </c>
      <c r="G57" s="2">
        <v>45931</v>
      </c>
      <c r="H57" s="1" t="s">
        <v>20</v>
      </c>
      <c r="I57" s="1">
        <v>100</v>
      </c>
      <c r="J57" s="1">
        <v>38181263</v>
      </c>
      <c r="L57" s="1" t="s">
        <v>149</v>
      </c>
      <c r="M57" s="1" t="s">
        <v>149</v>
      </c>
      <c r="N57" s="1" t="s">
        <v>22</v>
      </c>
      <c r="O57" s="1">
        <v>1</v>
      </c>
      <c r="P57" s="1" t="b">
        <v>1</v>
      </c>
      <c r="R57" s="1">
        <f t="shared" si="2"/>
        <v>0</v>
      </c>
      <c r="T57" s="1">
        <f t="shared" si="0"/>
        <v>0</v>
      </c>
      <c r="U57" s="1">
        <f t="shared" si="1"/>
        <v>0</v>
      </c>
    </row>
    <row r="58" spans="1:21" x14ac:dyDescent="0.25">
      <c r="A58" s="1" t="s">
        <v>150</v>
      </c>
      <c r="B58" s="1" t="s">
        <v>138</v>
      </c>
      <c r="C58" s="1" t="s">
        <v>41</v>
      </c>
      <c r="D58" s="2">
        <v>45931</v>
      </c>
      <c r="E58" s="2">
        <v>46031</v>
      </c>
      <c r="F58" s="2">
        <v>45931</v>
      </c>
      <c r="G58" s="2">
        <v>46031</v>
      </c>
      <c r="H58" s="1" t="s">
        <v>20</v>
      </c>
      <c r="I58" s="1">
        <v>100</v>
      </c>
      <c r="J58" s="1">
        <v>30545010</v>
      </c>
      <c r="L58" s="1" t="s">
        <v>151</v>
      </c>
      <c r="M58" s="1" t="s">
        <v>151</v>
      </c>
      <c r="N58" s="1" t="s">
        <v>22</v>
      </c>
      <c r="O58" s="1">
        <v>1</v>
      </c>
      <c r="P58" s="1" t="b">
        <v>1</v>
      </c>
      <c r="R58" s="1">
        <f t="shared" si="2"/>
        <v>0</v>
      </c>
      <c r="T58" s="1">
        <f t="shared" si="0"/>
        <v>0</v>
      </c>
      <c r="U58" s="1">
        <f t="shared" si="1"/>
        <v>0</v>
      </c>
    </row>
    <row r="59" spans="1:21" x14ac:dyDescent="0.25">
      <c r="A59" s="1" t="s">
        <v>152</v>
      </c>
      <c r="B59" s="1" t="s">
        <v>138</v>
      </c>
      <c r="C59" s="1" t="s">
        <v>45</v>
      </c>
      <c r="D59" s="2">
        <v>46031</v>
      </c>
      <c r="E59" s="2">
        <v>46157</v>
      </c>
      <c r="F59" s="2">
        <v>46031</v>
      </c>
      <c r="H59" s="1" t="s">
        <v>38</v>
      </c>
      <c r="I59" s="1">
        <v>84</v>
      </c>
      <c r="J59" s="1">
        <v>38181263</v>
      </c>
      <c r="L59" s="1" t="s">
        <v>153</v>
      </c>
      <c r="M59" s="1" t="s">
        <v>153</v>
      </c>
      <c r="N59" s="1" t="s">
        <v>22</v>
      </c>
      <c r="O59" s="1">
        <v>1</v>
      </c>
      <c r="P59" s="1" t="b">
        <v>1</v>
      </c>
      <c r="S59" s="1">
        <f>R$7-E59</f>
        <v>137</v>
      </c>
      <c r="T59" s="1">
        <f t="shared" si="0"/>
        <v>1</v>
      </c>
      <c r="U59" s="1">
        <f t="shared" si="1"/>
        <v>137</v>
      </c>
    </row>
    <row r="60" spans="1:21" x14ac:dyDescent="0.25">
      <c r="A60" s="1" t="s">
        <v>154</v>
      </c>
      <c r="B60" s="1" t="s">
        <v>138</v>
      </c>
      <c r="C60" s="1" t="s">
        <v>48</v>
      </c>
      <c r="D60" s="2">
        <v>46157</v>
      </c>
      <c r="E60" s="2">
        <v>46194</v>
      </c>
      <c r="H60" s="1" t="s">
        <v>42</v>
      </c>
      <c r="I60" s="1">
        <v>0</v>
      </c>
      <c r="J60" s="1">
        <v>11454378</v>
      </c>
      <c r="L60" s="1" t="s">
        <v>155</v>
      </c>
      <c r="M60" s="1" t="s">
        <v>155</v>
      </c>
      <c r="N60" s="1" t="s">
        <v>22</v>
      </c>
      <c r="O60" s="1">
        <v>1</v>
      </c>
      <c r="P60" s="1" t="b">
        <v>1</v>
      </c>
      <c r="S60" s="1">
        <f>R$7-E60</f>
        <v>100</v>
      </c>
      <c r="T60" s="1">
        <f t="shared" si="0"/>
        <v>1</v>
      </c>
      <c r="U60" s="1">
        <f t="shared" si="1"/>
        <v>100</v>
      </c>
    </row>
    <row r="61" spans="1:21" x14ac:dyDescent="0.25">
      <c r="A61" s="1" t="s">
        <v>156</v>
      </c>
      <c r="B61" s="1" t="s">
        <v>138</v>
      </c>
      <c r="C61" s="1" t="s">
        <v>51</v>
      </c>
      <c r="D61" s="2">
        <v>46194</v>
      </c>
      <c r="E61" s="2">
        <v>46219</v>
      </c>
      <c r="H61" s="1" t="s">
        <v>42</v>
      </c>
      <c r="I61" s="1">
        <v>0</v>
      </c>
      <c r="J61" s="1">
        <v>7636252</v>
      </c>
      <c r="L61" s="1" t="s">
        <v>157</v>
      </c>
      <c r="M61" s="1" t="s">
        <v>157</v>
      </c>
      <c r="N61" s="1" t="s">
        <v>22</v>
      </c>
      <c r="O61" s="1">
        <v>1</v>
      </c>
      <c r="P61" s="1" t="b">
        <v>1</v>
      </c>
      <c r="S61" s="1">
        <f>R$7-E61</f>
        <v>75</v>
      </c>
      <c r="T61" s="1">
        <f t="shared" si="0"/>
        <v>1</v>
      </c>
      <c r="U61" s="1">
        <f t="shared" si="1"/>
        <v>75</v>
      </c>
    </row>
    <row r="62" spans="1:21" x14ac:dyDescent="0.25">
      <c r="A62" s="1" t="s">
        <v>158</v>
      </c>
      <c r="B62" s="1" t="s">
        <v>159</v>
      </c>
      <c r="C62" s="1" t="s">
        <v>19</v>
      </c>
      <c r="D62" s="2">
        <v>45492</v>
      </c>
      <c r="E62" s="2">
        <v>45519</v>
      </c>
      <c r="F62" s="2">
        <v>45492</v>
      </c>
      <c r="G62" s="2">
        <v>45519</v>
      </c>
      <c r="H62" s="1" t="s">
        <v>20</v>
      </c>
      <c r="I62" s="1">
        <v>100</v>
      </c>
      <c r="J62" s="1">
        <v>13982749</v>
      </c>
      <c r="L62" s="1" t="s">
        <v>160</v>
      </c>
      <c r="M62" s="1" t="s">
        <v>160</v>
      </c>
      <c r="N62" s="1" t="s">
        <v>22</v>
      </c>
      <c r="O62" s="1">
        <v>1</v>
      </c>
      <c r="P62" s="1" t="b">
        <v>1</v>
      </c>
      <c r="R62" s="1">
        <f t="shared" ref="R62:R93" si="3">G62-E62</f>
        <v>0</v>
      </c>
      <c r="T62" s="1">
        <f t="shared" si="0"/>
        <v>0</v>
      </c>
      <c r="U62" s="1">
        <f t="shared" si="1"/>
        <v>0</v>
      </c>
    </row>
    <row r="63" spans="1:21" x14ac:dyDescent="0.25">
      <c r="A63" s="1" t="s">
        <v>161</v>
      </c>
      <c r="B63" s="1" t="s">
        <v>159</v>
      </c>
      <c r="C63" s="1" t="s">
        <v>24</v>
      </c>
      <c r="D63" s="2">
        <v>45519</v>
      </c>
      <c r="E63" s="2">
        <v>45573</v>
      </c>
      <c r="F63" s="2">
        <v>45519</v>
      </c>
      <c r="G63" s="2">
        <v>45573</v>
      </c>
      <c r="H63" s="1" t="s">
        <v>20</v>
      </c>
      <c r="I63" s="1">
        <v>100</v>
      </c>
      <c r="J63" s="1">
        <v>27965498</v>
      </c>
      <c r="L63" s="1" t="s">
        <v>162</v>
      </c>
      <c r="M63" s="1" t="s">
        <v>162</v>
      </c>
      <c r="N63" s="1" t="s">
        <v>22</v>
      </c>
      <c r="O63" s="1">
        <v>1</v>
      </c>
      <c r="P63" s="1" t="b">
        <v>1</v>
      </c>
      <c r="R63" s="1">
        <f t="shared" si="3"/>
        <v>0</v>
      </c>
      <c r="T63" s="1">
        <f t="shared" si="0"/>
        <v>0</v>
      </c>
      <c r="U63" s="1">
        <f t="shared" si="1"/>
        <v>0</v>
      </c>
    </row>
    <row r="64" spans="1:21" x14ac:dyDescent="0.25">
      <c r="A64" s="1" t="s">
        <v>163</v>
      </c>
      <c r="B64" s="1" t="s">
        <v>159</v>
      </c>
      <c r="C64" s="1" t="s">
        <v>27</v>
      </c>
      <c r="D64" s="2">
        <v>45573</v>
      </c>
      <c r="E64" s="2">
        <v>45637</v>
      </c>
      <c r="F64" s="2">
        <v>45573</v>
      </c>
      <c r="G64" s="2">
        <v>45637</v>
      </c>
      <c r="H64" s="1" t="s">
        <v>20</v>
      </c>
      <c r="I64" s="1">
        <v>100</v>
      </c>
      <c r="J64" s="1">
        <v>33558598</v>
      </c>
      <c r="L64" s="1" t="s">
        <v>164</v>
      </c>
      <c r="M64" s="1" t="s">
        <v>164</v>
      </c>
      <c r="N64" s="1" t="s">
        <v>22</v>
      </c>
      <c r="O64" s="1">
        <v>1</v>
      </c>
      <c r="P64" s="1" t="b">
        <v>1</v>
      </c>
      <c r="Q64" s="1" t="s">
        <v>29</v>
      </c>
      <c r="R64" s="1">
        <f t="shared" si="3"/>
        <v>0</v>
      </c>
      <c r="T64" s="1">
        <f t="shared" si="0"/>
        <v>0</v>
      </c>
      <c r="U64" s="1">
        <f t="shared" si="1"/>
        <v>0</v>
      </c>
    </row>
    <row r="65" spans="1:21" x14ac:dyDescent="0.25">
      <c r="A65" s="1" t="s">
        <v>165</v>
      </c>
      <c r="B65" s="1" t="s">
        <v>159</v>
      </c>
      <c r="C65" s="1" t="s">
        <v>31</v>
      </c>
      <c r="D65" s="2">
        <v>45637</v>
      </c>
      <c r="E65" s="2">
        <v>45718</v>
      </c>
      <c r="F65" s="2">
        <v>45637</v>
      </c>
      <c r="G65" s="2">
        <v>45718</v>
      </c>
      <c r="H65" s="1" t="s">
        <v>20</v>
      </c>
      <c r="I65" s="1">
        <v>100</v>
      </c>
      <c r="J65" s="1">
        <v>41948248</v>
      </c>
      <c r="L65" s="1" t="s">
        <v>166</v>
      </c>
      <c r="M65" s="1" t="s">
        <v>166</v>
      </c>
      <c r="N65" s="1" t="s">
        <v>22</v>
      </c>
      <c r="O65" s="1">
        <v>1</v>
      </c>
      <c r="P65" s="1" t="b">
        <v>1</v>
      </c>
      <c r="R65" s="1">
        <f t="shared" si="3"/>
        <v>0</v>
      </c>
      <c r="T65" s="1">
        <f t="shared" si="0"/>
        <v>0</v>
      </c>
      <c r="U65" s="1">
        <f t="shared" si="1"/>
        <v>0</v>
      </c>
    </row>
    <row r="66" spans="1:21" x14ac:dyDescent="0.25">
      <c r="A66" s="1" t="s">
        <v>167</v>
      </c>
      <c r="B66" s="1" t="s">
        <v>159</v>
      </c>
      <c r="C66" s="1" t="s">
        <v>34</v>
      </c>
      <c r="D66" s="2">
        <v>45718</v>
      </c>
      <c r="E66" s="2">
        <v>45853</v>
      </c>
      <c r="F66" s="2">
        <v>45718</v>
      </c>
      <c r="G66" s="2">
        <v>45853</v>
      </c>
      <c r="H66" s="1" t="s">
        <v>20</v>
      </c>
      <c r="I66" s="1">
        <v>100</v>
      </c>
      <c r="J66" s="1">
        <v>69913747</v>
      </c>
      <c r="L66" s="1" t="s">
        <v>168</v>
      </c>
      <c r="M66" s="1" t="s">
        <v>168</v>
      </c>
      <c r="N66" s="1" t="s">
        <v>22</v>
      </c>
      <c r="O66" s="1">
        <v>1</v>
      </c>
      <c r="P66" s="1" t="b">
        <v>1</v>
      </c>
      <c r="Q66" s="1" t="s">
        <v>29</v>
      </c>
      <c r="R66" s="1">
        <f t="shared" si="3"/>
        <v>0</v>
      </c>
      <c r="T66" s="1">
        <f t="shared" si="0"/>
        <v>0</v>
      </c>
      <c r="U66" s="1">
        <f t="shared" si="1"/>
        <v>0</v>
      </c>
    </row>
    <row r="67" spans="1:21" x14ac:dyDescent="0.25">
      <c r="A67" s="1" t="s">
        <v>169</v>
      </c>
      <c r="B67" s="1" t="s">
        <v>159</v>
      </c>
      <c r="C67" s="1" t="s">
        <v>37</v>
      </c>
      <c r="D67" s="2">
        <v>45853</v>
      </c>
      <c r="E67" s="2">
        <v>45907</v>
      </c>
      <c r="F67" s="2">
        <v>45853</v>
      </c>
      <c r="G67" s="2">
        <v>45907</v>
      </c>
      <c r="H67" s="1" t="s">
        <v>20</v>
      </c>
      <c r="I67" s="1">
        <v>100</v>
      </c>
      <c r="J67" s="1">
        <v>27965498</v>
      </c>
      <c r="L67" s="1" t="s">
        <v>170</v>
      </c>
      <c r="M67" s="1" t="s">
        <v>170</v>
      </c>
      <c r="N67" s="1" t="s">
        <v>22</v>
      </c>
      <c r="O67" s="1">
        <v>1</v>
      </c>
      <c r="P67" s="1" t="b">
        <v>1</v>
      </c>
      <c r="R67" s="1">
        <f t="shared" si="3"/>
        <v>0</v>
      </c>
      <c r="T67" s="1">
        <f t="shared" ref="T67:T130" si="4">IF(S67&gt;0,1,0)</f>
        <v>0</v>
      </c>
      <c r="U67" s="1">
        <f t="shared" ref="U67:U130" si="5">IF(S67&gt;0,S67,0)</f>
        <v>0</v>
      </c>
    </row>
    <row r="68" spans="1:21" x14ac:dyDescent="0.25">
      <c r="A68" s="1" t="s">
        <v>171</v>
      </c>
      <c r="B68" s="1" t="s">
        <v>159</v>
      </c>
      <c r="C68" s="1" t="s">
        <v>41</v>
      </c>
      <c r="D68" s="2">
        <v>45907</v>
      </c>
      <c r="E68" s="2">
        <v>45950</v>
      </c>
      <c r="F68" s="2">
        <v>45907</v>
      </c>
      <c r="G68" s="2">
        <v>45950</v>
      </c>
      <c r="H68" s="1" t="s">
        <v>20</v>
      </c>
      <c r="I68" s="1">
        <v>100</v>
      </c>
      <c r="J68" s="1">
        <v>22372399</v>
      </c>
      <c r="L68" s="1" t="s">
        <v>172</v>
      </c>
      <c r="M68" s="1" t="s">
        <v>172</v>
      </c>
      <c r="N68" s="1" t="s">
        <v>22</v>
      </c>
      <c r="O68" s="1">
        <v>1</v>
      </c>
      <c r="P68" s="1" t="b">
        <v>1</v>
      </c>
      <c r="R68" s="1">
        <f t="shared" si="3"/>
        <v>0</v>
      </c>
      <c r="T68" s="1">
        <f t="shared" si="4"/>
        <v>0</v>
      </c>
      <c r="U68" s="1">
        <f t="shared" si="5"/>
        <v>0</v>
      </c>
    </row>
    <row r="69" spans="1:21" x14ac:dyDescent="0.25">
      <c r="A69" s="1" t="s">
        <v>173</v>
      </c>
      <c r="B69" s="1" t="s">
        <v>159</v>
      </c>
      <c r="C69" s="1" t="s">
        <v>45</v>
      </c>
      <c r="D69" s="2">
        <v>45950</v>
      </c>
      <c r="E69" s="2">
        <v>46004</v>
      </c>
      <c r="F69" s="2">
        <v>45950</v>
      </c>
      <c r="G69" s="2">
        <v>46004</v>
      </c>
      <c r="H69" s="1" t="s">
        <v>20</v>
      </c>
      <c r="I69" s="1">
        <v>100</v>
      </c>
      <c r="J69" s="1">
        <v>27965498</v>
      </c>
      <c r="L69" s="1" t="s">
        <v>174</v>
      </c>
      <c r="M69" s="1" t="s">
        <v>174</v>
      </c>
      <c r="N69" s="1" t="s">
        <v>22</v>
      </c>
      <c r="O69" s="1">
        <v>1</v>
      </c>
      <c r="P69" s="1" t="b">
        <v>1</v>
      </c>
      <c r="R69" s="1">
        <f t="shared" si="3"/>
        <v>0</v>
      </c>
      <c r="T69" s="1">
        <f t="shared" si="4"/>
        <v>0</v>
      </c>
      <c r="U69" s="1">
        <f t="shared" si="5"/>
        <v>0</v>
      </c>
    </row>
    <row r="70" spans="1:21" x14ac:dyDescent="0.25">
      <c r="A70" s="1" t="s">
        <v>175</v>
      </c>
      <c r="B70" s="1" t="s">
        <v>159</v>
      </c>
      <c r="C70" s="1" t="s">
        <v>48</v>
      </c>
      <c r="D70" s="2">
        <v>46004</v>
      </c>
      <c r="E70" s="2">
        <v>46020</v>
      </c>
      <c r="F70" s="2">
        <v>46004</v>
      </c>
      <c r="G70" s="2">
        <v>46020</v>
      </c>
      <c r="H70" s="1" t="s">
        <v>20</v>
      </c>
      <c r="I70" s="1">
        <v>100</v>
      </c>
      <c r="J70" s="1">
        <v>8389649</v>
      </c>
      <c r="L70" s="1" t="s">
        <v>176</v>
      </c>
      <c r="M70" s="1" t="s">
        <v>176</v>
      </c>
      <c r="N70" s="1" t="s">
        <v>22</v>
      </c>
      <c r="O70" s="1">
        <v>1</v>
      </c>
      <c r="P70" s="1" t="b">
        <v>1</v>
      </c>
      <c r="R70" s="1">
        <f t="shared" si="3"/>
        <v>0</v>
      </c>
      <c r="T70" s="1">
        <f t="shared" si="4"/>
        <v>0</v>
      </c>
      <c r="U70" s="1">
        <f t="shared" si="5"/>
        <v>0</v>
      </c>
    </row>
    <row r="71" spans="1:21" x14ac:dyDescent="0.25">
      <c r="A71" s="1" t="s">
        <v>177</v>
      </c>
      <c r="B71" s="1" t="s">
        <v>159</v>
      </c>
      <c r="C71" s="1" t="s">
        <v>51</v>
      </c>
      <c r="D71" s="2">
        <v>46020</v>
      </c>
      <c r="E71" s="2">
        <v>46030</v>
      </c>
      <c r="F71" s="2">
        <v>46020</v>
      </c>
      <c r="G71" s="2">
        <v>46030</v>
      </c>
      <c r="H71" s="1" t="s">
        <v>20</v>
      </c>
      <c r="I71" s="1">
        <v>100</v>
      </c>
      <c r="J71" s="1">
        <v>5593099</v>
      </c>
      <c r="L71" s="1" t="s">
        <v>178</v>
      </c>
      <c r="M71" s="1" t="s">
        <v>178</v>
      </c>
      <c r="N71" s="1" t="s">
        <v>22</v>
      </c>
      <c r="O71" s="1">
        <v>1</v>
      </c>
      <c r="P71" s="1" t="b">
        <v>1</v>
      </c>
      <c r="R71" s="1">
        <f t="shared" si="3"/>
        <v>0</v>
      </c>
      <c r="T71" s="1">
        <f t="shared" si="4"/>
        <v>0</v>
      </c>
      <c r="U71" s="1">
        <f t="shared" si="5"/>
        <v>0</v>
      </c>
    </row>
    <row r="72" spans="1:21" x14ac:dyDescent="0.25">
      <c r="A72" s="1" t="s">
        <v>179</v>
      </c>
      <c r="B72" s="1" t="s">
        <v>180</v>
      </c>
      <c r="C72" s="1" t="s">
        <v>19</v>
      </c>
      <c r="D72" s="2">
        <v>44134</v>
      </c>
      <c r="E72" s="2">
        <v>44191</v>
      </c>
      <c r="F72" s="2">
        <v>44134</v>
      </c>
      <c r="G72" s="2">
        <v>44191</v>
      </c>
      <c r="H72" s="1" t="s">
        <v>20</v>
      </c>
      <c r="I72" s="1">
        <v>100</v>
      </c>
      <c r="J72" s="1">
        <v>8178273</v>
      </c>
      <c r="L72" s="1" t="s">
        <v>181</v>
      </c>
      <c r="M72" s="1" t="s">
        <v>181</v>
      </c>
      <c r="N72" s="1" t="s">
        <v>22</v>
      </c>
      <c r="O72" s="1">
        <v>1</v>
      </c>
      <c r="P72" s="1" t="b">
        <v>1</v>
      </c>
      <c r="R72" s="1">
        <f t="shared" si="3"/>
        <v>0</v>
      </c>
      <c r="T72" s="1">
        <f t="shared" si="4"/>
        <v>0</v>
      </c>
      <c r="U72" s="1">
        <f t="shared" si="5"/>
        <v>0</v>
      </c>
    </row>
    <row r="73" spans="1:21" x14ac:dyDescent="0.25">
      <c r="A73" s="1" t="s">
        <v>182</v>
      </c>
      <c r="B73" s="1" t="s">
        <v>180</v>
      </c>
      <c r="C73" s="1" t="s">
        <v>24</v>
      </c>
      <c r="D73" s="2">
        <v>44191</v>
      </c>
      <c r="E73" s="2">
        <v>44305</v>
      </c>
      <c r="F73" s="2">
        <v>44191</v>
      </c>
      <c r="G73" s="2">
        <v>44305</v>
      </c>
      <c r="H73" s="1" t="s">
        <v>20</v>
      </c>
      <c r="I73" s="1">
        <v>100</v>
      </c>
      <c r="J73" s="1">
        <v>16356547</v>
      </c>
      <c r="L73" s="1" t="s">
        <v>183</v>
      </c>
      <c r="M73" s="1" t="s">
        <v>183</v>
      </c>
      <c r="N73" s="1" t="s">
        <v>22</v>
      </c>
      <c r="O73" s="1">
        <v>1</v>
      </c>
      <c r="P73" s="1" t="b">
        <v>1</v>
      </c>
      <c r="R73" s="1">
        <f t="shared" si="3"/>
        <v>0</v>
      </c>
      <c r="T73" s="1">
        <f t="shared" si="4"/>
        <v>0</v>
      </c>
      <c r="U73" s="1">
        <f t="shared" si="5"/>
        <v>0</v>
      </c>
    </row>
    <row r="74" spans="1:21" x14ac:dyDescent="0.25">
      <c r="A74" s="1" t="s">
        <v>184</v>
      </c>
      <c r="B74" s="1" t="s">
        <v>180</v>
      </c>
      <c r="C74" s="1" t="s">
        <v>27</v>
      </c>
      <c r="D74" s="2">
        <v>44305</v>
      </c>
      <c r="E74" s="2">
        <v>44441</v>
      </c>
      <c r="F74" s="2">
        <v>44305</v>
      </c>
      <c r="G74" s="2">
        <v>44441</v>
      </c>
      <c r="H74" s="1" t="s">
        <v>20</v>
      </c>
      <c r="I74" s="1">
        <v>100</v>
      </c>
      <c r="J74" s="1">
        <v>19627856</v>
      </c>
      <c r="L74" s="1" t="s">
        <v>185</v>
      </c>
      <c r="M74" s="1" t="s">
        <v>185</v>
      </c>
      <c r="N74" s="1" t="s">
        <v>22</v>
      </c>
      <c r="O74" s="1">
        <v>1</v>
      </c>
      <c r="P74" s="1" t="b">
        <v>1</v>
      </c>
      <c r="Q74" s="1" t="s">
        <v>29</v>
      </c>
      <c r="R74" s="1">
        <f t="shared" si="3"/>
        <v>0</v>
      </c>
      <c r="T74" s="1">
        <f t="shared" si="4"/>
        <v>0</v>
      </c>
      <c r="U74" s="1">
        <f t="shared" si="5"/>
        <v>0</v>
      </c>
    </row>
    <row r="75" spans="1:21" x14ac:dyDescent="0.25">
      <c r="A75" s="1" t="s">
        <v>186</v>
      </c>
      <c r="B75" s="1" t="s">
        <v>180</v>
      </c>
      <c r="C75" s="1" t="s">
        <v>31</v>
      </c>
      <c r="D75" s="2">
        <v>44441</v>
      </c>
      <c r="E75" s="2">
        <v>44612</v>
      </c>
      <c r="F75" s="2">
        <v>44441</v>
      </c>
      <c r="G75" s="2">
        <v>44612</v>
      </c>
      <c r="H75" s="1" t="s">
        <v>20</v>
      </c>
      <c r="I75" s="1">
        <v>100</v>
      </c>
      <c r="J75" s="1">
        <v>24534820</v>
      </c>
      <c r="L75" s="1" t="s">
        <v>187</v>
      </c>
      <c r="M75" s="1" t="s">
        <v>187</v>
      </c>
      <c r="N75" s="1" t="s">
        <v>22</v>
      </c>
      <c r="O75" s="1">
        <v>1</v>
      </c>
      <c r="P75" s="1" t="b">
        <v>1</v>
      </c>
      <c r="R75" s="1">
        <f t="shared" si="3"/>
        <v>0</v>
      </c>
      <c r="T75" s="1">
        <f t="shared" si="4"/>
        <v>0</v>
      </c>
      <c r="U75" s="1">
        <f t="shared" si="5"/>
        <v>0</v>
      </c>
    </row>
    <row r="76" spans="1:21" x14ac:dyDescent="0.25">
      <c r="A76" s="1" t="s">
        <v>188</v>
      </c>
      <c r="B76" s="1" t="s">
        <v>180</v>
      </c>
      <c r="C76" s="1" t="s">
        <v>34</v>
      </c>
      <c r="D76" s="2">
        <v>44612</v>
      </c>
      <c r="E76" s="2">
        <v>44897</v>
      </c>
      <c r="F76" s="2">
        <v>44612</v>
      </c>
      <c r="G76" s="2">
        <v>44897</v>
      </c>
      <c r="H76" s="1" t="s">
        <v>20</v>
      </c>
      <c r="I76" s="1">
        <v>100</v>
      </c>
      <c r="J76" s="1">
        <v>40891367</v>
      </c>
      <c r="L76" s="1" t="s">
        <v>189</v>
      </c>
      <c r="M76" s="1" t="s">
        <v>189</v>
      </c>
      <c r="N76" s="1" t="s">
        <v>22</v>
      </c>
      <c r="O76" s="1">
        <v>1</v>
      </c>
      <c r="P76" s="1" t="b">
        <v>1</v>
      </c>
      <c r="Q76" s="1" t="s">
        <v>29</v>
      </c>
      <c r="R76" s="1">
        <f t="shared" si="3"/>
        <v>0</v>
      </c>
      <c r="T76" s="1">
        <f t="shared" si="4"/>
        <v>0</v>
      </c>
      <c r="U76" s="1">
        <f t="shared" si="5"/>
        <v>0</v>
      </c>
    </row>
    <row r="77" spans="1:21" x14ac:dyDescent="0.25">
      <c r="A77" s="1" t="s">
        <v>190</v>
      </c>
      <c r="B77" s="1" t="s">
        <v>180</v>
      </c>
      <c r="C77" s="1" t="s">
        <v>37</v>
      </c>
      <c r="D77" s="2">
        <v>44897</v>
      </c>
      <c r="E77" s="2">
        <v>45011</v>
      </c>
      <c r="F77" s="2">
        <v>44897</v>
      </c>
      <c r="G77" s="2">
        <v>45011</v>
      </c>
      <c r="H77" s="1" t="s">
        <v>20</v>
      </c>
      <c r="I77" s="1">
        <v>100</v>
      </c>
      <c r="J77" s="1">
        <v>16356547</v>
      </c>
      <c r="L77" s="1" t="s">
        <v>191</v>
      </c>
      <c r="M77" s="1" t="s">
        <v>191</v>
      </c>
      <c r="N77" s="1" t="s">
        <v>22</v>
      </c>
      <c r="O77" s="1">
        <v>1</v>
      </c>
      <c r="P77" s="1" t="b">
        <v>1</v>
      </c>
      <c r="R77" s="1">
        <f t="shared" si="3"/>
        <v>0</v>
      </c>
      <c r="T77" s="1">
        <f t="shared" si="4"/>
        <v>0</v>
      </c>
      <c r="U77" s="1">
        <f t="shared" si="5"/>
        <v>0</v>
      </c>
    </row>
    <row r="78" spans="1:21" x14ac:dyDescent="0.25">
      <c r="A78" s="1" t="s">
        <v>192</v>
      </c>
      <c r="B78" s="1" t="s">
        <v>180</v>
      </c>
      <c r="C78" s="1" t="s">
        <v>41</v>
      </c>
      <c r="D78" s="2">
        <v>45011</v>
      </c>
      <c r="E78" s="2">
        <v>45102</v>
      </c>
      <c r="F78" s="2">
        <v>45011</v>
      </c>
      <c r="G78" s="2">
        <v>45102</v>
      </c>
      <c r="H78" s="1" t="s">
        <v>20</v>
      </c>
      <c r="I78" s="1">
        <v>100</v>
      </c>
      <c r="J78" s="1">
        <v>13085237</v>
      </c>
      <c r="L78" s="1" t="s">
        <v>193</v>
      </c>
      <c r="M78" s="1" t="s">
        <v>193</v>
      </c>
      <c r="N78" s="1" t="s">
        <v>22</v>
      </c>
      <c r="O78" s="1">
        <v>1</v>
      </c>
      <c r="P78" s="1" t="b">
        <v>1</v>
      </c>
      <c r="R78" s="1">
        <f t="shared" si="3"/>
        <v>0</v>
      </c>
      <c r="T78" s="1">
        <f t="shared" si="4"/>
        <v>0</v>
      </c>
      <c r="U78" s="1">
        <f t="shared" si="5"/>
        <v>0</v>
      </c>
    </row>
    <row r="79" spans="1:21" x14ac:dyDescent="0.25">
      <c r="A79" s="1" t="s">
        <v>194</v>
      </c>
      <c r="B79" s="1" t="s">
        <v>180</v>
      </c>
      <c r="C79" s="1" t="s">
        <v>45</v>
      </c>
      <c r="D79" s="2">
        <v>45102</v>
      </c>
      <c r="E79" s="2">
        <v>45216</v>
      </c>
      <c r="F79" s="2">
        <v>45102</v>
      </c>
      <c r="G79" s="2">
        <v>45216</v>
      </c>
      <c r="H79" s="1" t="s">
        <v>20</v>
      </c>
      <c r="I79" s="1">
        <v>100</v>
      </c>
      <c r="J79" s="1">
        <v>16356547</v>
      </c>
      <c r="L79" s="1" t="s">
        <v>195</v>
      </c>
      <c r="M79" s="1" t="s">
        <v>195</v>
      </c>
      <c r="N79" s="1" t="s">
        <v>22</v>
      </c>
      <c r="O79" s="1">
        <v>1</v>
      </c>
      <c r="P79" s="1" t="b">
        <v>1</v>
      </c>
      <c r="R79" s="1">
        <f t="shared" si="3"/>
        <v>0</v>
      </c>
      <c r="T79" s="1">
        <f t="shared" si="4"/>
        <v>0</v>
      </c>
      <c r="U79" s="1">
        <f t="shared" si="5"/>
        <v>0</v>
      </c>
    </row>
    <row r="80" spans="1:21" x14ac:dyDescent="0.25">
      <c r="A80" s="1" t="s">
        <v>196</v>
      </c>
      <c r="B80" s="1" t="s">
        <v>180</v>
      </c>
      <c r="C80" s="1" t="s">
        <v>48</v>
      </c>
      <c r="D80" s="2">
        <v>45216</v>
      </c>
      <c r="E80" s="2">
        <v>45250</v>
      </c>
      <c r="F80" s="2">
        <v>45216</v>
      </c>
      <c r="G80" s="2">
        <v>45250</v>
      </c>
      <c r="H80" s="1" t="s">
        <v>20</v>
      </c>
      <c r="I80" s="1">
        <v>100</v>
      </c>
      <c r="J80" s="1">
        <v>4906964</v>
      </c>
      <c r="L80" s="1" t="s">
        <v>197</v>
      </c>
      <c r="M80" s="1" t="s">
        <v>197</v>
      </c>
      <c r="N80" s="1" t="s">
        <v>22</v>
      </c>
      <c r="O80" s="1">
        <v>1</v>
      </c>
      <c r="P80" s="1" t="b">
        <v>1</v>
      </c>
      <c r="R80" s="1">
        <f t="shared" si="3"/>
        <v>0</v>
      </c>
      <c r="T80" s="1">
        <f t="shared" si="4"/>
        <v>0</v>
      </c>
      <c r="U80" s="1">
        <f t="shared" si="5"/>
        <v>0</v>
      </c>
    </row>
    <row r="81" spans="1:21" x14ac:dyDescent="0.25">
      <c r="A81" s="1" t="s">
        <v>198</v>
      </c>
      <c r="B81" s="1" t="s">
        <v>180</v>
      </c>
      <c r="C81" s="1" t="s">
        <v>51</v>
      </c>
      <c r="D81" s="2">
        <v>45250</v>
      </c>
      <c r="E81" s="2">
        <v>45272</v>
      </c>
      <c r="F81" s="2">
        <v>45250</v>
      </c>
      <c r="G81" s="2">
        <v>45272</v>
      </c>
      <c r="H81" s="1" t="s">
        <v>20</v>
      </c>
      <c r="I81" s="1">
        <v>100</v>
      </c>
      <c r="J81" s="1">
        <v>3271309</v>
      </c>
      <c r="L81" s="1" t="s">
        <v>199</v>
      </c>
      <c r="M81" s="1" t="s">
        <v>199</v>
      </c>
      <c r="N81" s="1" t="s">
        <v>22</v>
      </c>
      <c r="O81" s="1">
        <v>1</v>
      </c>
      <c r="P81" s="1" t="b">
        <v>1</v>
      </c>
      <c r="R81" s="1">
        <f t="shared" si="3"/>
        <v>0</v>
      </c>
      <c r="T81" s="1">
        <f t="shared" si="4"/>
        <v>0</v>
      </c>
      <c r="U81" s="1">
        <f t="shared" si="5"/>
        <v>0</v>
      </c>
    </row>
    <row r="82" spans="1:21" x14ac:dyDescent="0.25">
      <c r="A82" s="1" t="s">
        <v>200</v>
      </c>
      <c r="B82" s="1" t="s">
        <v>201</v>
      </c>
      <c r="C82" s="1" t="s">
        <v>19</v>
      </c>
      <c r="D82" s="2">
        <v>44544</v>
      </c>
      <c r="E82" s="2">
        <v>44575</v>
      </c>
      <c r="F82" s="2">
        <v>44544</v>
      </c>
      <c r="G82" s="2">
        <v>44575</v>
      </c>
      <c r="H82" s="1" t="s">
        <v>20</v>
      </c>
      <c r="I82" s="1">
        <v>100</v>
      </c>
      <c r="J82" s="1">
        <v>2668138</v>
      </c>
      <c r="L82" s="1" t="s">
        <v>202</v>
      </c>
      <c r="M82" s="1" t="s">
        <v>202</v>
      </c>
      <c r="N82" s="1" t="s">
        <v>22</v>
      </c>
      <c r="O82" s="1">
        <v>1</v>
      </c>
      <c r="P82" s="1" t="b">
        <v>1</v>
      </c>
      <c r="R82" s="1">
        <f t="shared" si="3"/>
        <v>0</v>
      </c>
      <c r="T82" s="1">
        <f t="shared" si="4"/>
        <v>0</v>
      </c>
      <c r="U82" s="1">
        <f t="shared" si="5"/>
        <v>0</v>
      </c>
    </row>
    <row r="83" spans="1:21" x14ac:dyDescent="0.25">
      <c r="A83" s="1" t="s">
        <v>203</v>
      </c>
      <c r="B83" s="1" t="s">
        <v>201</v>
      </c>
      <c r="C83" s="1" t="s">
        <v>24</v>
      </c>
      <c r="D83" s="2">
        <v>44575</v>
      </c>
      <c r="E83" s="2">
        <v>44638</v>
      </c>
      <c r="F83" s="2">
        <v>44575</v>
      </c>
      <c r="G83" s="2">
        <v>44638</v>
      </c>
      <c r="H83" s="1" t="s">
        <v>20</v>
      </c>
      <c r="I83" s="1">
        <v>100</v>
      </c>
      <c r="J83" s="1">
        <v>5336276</v>
      </c>
      <c r="L83" s="1" t="s">
        <v>204</v>
      </c>
      <c r="M83" s="1" t="s">
        <v>204</v>
      </c>
      <c r="N83" s="1" t="s">
        <v>22</v>
      </c>
      <c r="O83" s="1">
        <v>1</v>
      </c>
      <c r="P83" s="1" t="b">
        <v>1</v>
      </c>
      <c r="R83" s="1">
        <f t="shared" si="3"/>
        <v>0</v>
      </c>
      <c r="T83" s="1">
        <f t="shared" si="4"/>
        <v>0</v>
      </c>
      <c r="U83" s="1">
        <f t="shared" si="5"/>
        <v>0</v>
      </c>
    </row>
    <row r="84" spans="1:21" x14ac:dyDescent="0.25">
      <c r="A84" s="1" t="s">
        <v>205</v>
      </c>
      <c r="B84" s="1" t="s">
        <v>201</v>
      </c>
      <c r="C84" s="1" t="s">
        <v>27</v>
      </c>
      <c r="D84" s="2">
        <v>44638</v>
      </c>
      <c r="E84" s="2">
        <v>44713</v>
      </c>
      <c r="F84" s="2">
        <v>44638</v>
      </c>
      <c r="G84" s="2">
        <v>44713</v>
      </c>
      <c r="H84" s="1" t="s">
        <v>20</v>
      </c>
      <c r="I84" s="1">
        <v>100</v>
      </c>
      <c r="J84" s="1">
        <v>6403532</v>
      </c>
      <c r="L84" s="1" t="s">
        <v>206</v>
      </c>
      <c r="M84" s="1" t="s">
        <v>206</v>
      </c>
      <c r="N84" s="1" t="s">
        <v>22</v>
      </c>
      <c r="O84" s="1">
        <v>1</v>
      </c>
      <c r="P84" s="1" t="b">
        <v>1</v>
      </c>
      <c r="Q84" s="1" t="s">
        <v>29</v>
      </c>
      <c r="R84" s="1">
        <f t="shared" si="3"/>
        <v>0</v>
      </c>
      <c r="T84" s="1">
        <f t="shared" si="4"/>
        <v>0</v>
      </c>
      <c r="U84" s="1">
        <f t="shared" si="5"/>
        <v>0</v>
      </c>
    </row>
    <row r="85" spans="1:21" x14ac:dyDescent="0.25">
      <c r="A85" s="1" t="s">
        <v>207</v>
      </c>
      <c r="B85" s="1" t="s">
        <v>201</v>
      </c>
      <c r="C85" s="1" t="s">
        <v>31</v>
      </c>
      <c r="D85" s="2">
        <v>44713</v>
      </c>
      <c r="E85" s="2">
        <v>44807</v>
      </c>
      <c r="F85" s="2">
        <v>44713</v>
      </c>
      <c r="G85" s="2">
        <v>44807</v>
      </c>
      <c r="H85" s="1" t="s">
        <v>20</v>
      </c>
      <c r="I85" s="1">
        <v>100</v>
      </c>
      <c r="J85" s="1">
        <v>8004415</v>
      </c>
      <c r="L85" s="1" t="s">
        <v>208</v>
      </c>
      <c r="M85" s="1" t="s">
        <v>208</v>
      </c>
      <c r="N85" s="1" t="s">
        <v>22</v>
      </c>
      <c r="O85" s="1">
        <v>1</v>
      </c>
      <c r="P85" s="1" t="b">
        <v>1</v>
      </c>
      <c r="R85" s="1">
        <f t="shared" si="3"/>
        <v>0</v>
      </c>
      <c r="T85" s="1">
        <f t="shared" si="4"/>
        <v>0</v>
      </c>
      <c r="U85" s="1">
        <f t="shared" si="5"/>
        <v>0</v>
      </c>
    </row>
    <row r="86" spans="1:21" x14ac:dyDescent="0.25">
      <c r="A86" s="1" t="s">
        <v>209</v>
      </c>
      <c r="B86" s="1" t="s">
        <v>201</v>
      </c>
      <c r="C86" s="1" t="s">
        <v>34</v>
      </c>
      <c r="D86" s="2">
        <v>44807</v>
      </c>
      <c r="E86" s="2">
        <v>44964</v>
      </c>
      <c r="F86" s="2">
        <v>44807</v>
      </c>
      <c r="G86" s="2">
        <v>44964</v>
      </c>
      <c r="H86" s="1" t="s">
        <v>20</v>
      </c>
      <c r="I86" s="1">
        <v>100</v>
      </c>
      <c r="J86" s="1">
        <v>13340691</v>
      </c>
      <c r="L86" s="1" t="s">
        <v>210</v>
      </c>
      <c r="M86" s="1" t="s">
        <v>210</v>
      </c>
      <c r="N86" s="1" t="s">
        <v>22</v>
      </c>
      <c r="O86" s="1">
        <v>1</v>
      </c>
      <c r="P86" s="1" t="b">
        <v>1</v>
      </c>
      <c r="Q86" s="1" t="s">
        <v>29</v>
      </c>
      <c r="R86" s="1">
        <f t="shared" si="3"/>
        <v>0</v>
      </c>
      <c r="T86" s="1">
        <f t="shared" si="4"/>
        <v>0</v>
      </c>
      <c r="U86" s="1">
        <f t="shared" si="5"/>
        <v>0</v>
      </c>
    </row>
    <row r="87" spans="1:21" x14ac:dyDescent="0.25">
      <c r="A87" s="1" t="s">
        <v>211</v>
      </c>
      <c r="B87" s="1" t="s">
        <v>201</v>
      </c>
      <c r="C87" s="1" t="s">
        <v>37</v>
      </c>
      <c r="D87" s="2">
        <v>44964</v>
      </c>
      <c r="E87" s="2">
        <v>45027</v>
      </c>
      <c r="F87" s="2">
        <v>44964</v>
      </c>
      <c r="G87" s="2">
        <v>45027</v>
      </c>
      <c r="H87" s="1" t="s">
        <v>20</v>
      </c>
      <c r="I87" s="1">
        <v>100</v>
      </c>
      <c r="J87" s="1">
        <v>5336276</v>
      </c>
      <c r="L87" s="1" t="s">
        <v>212</v>
      </c>
      <c r="M87" s="1" t="s">
        <v>212</v>
      </c>
      <c r="N87" s="1" t="s">
        <v>22</v>
      </c>
      <c r="O87" s="1">
        <v>1</v>
      </c>
      <c r="P87" s="1" t="b">
        <v>1</v>
      </c>
      <c r="R87" s="1">
        <f t="shared" si="3"/>
        <v>0</v>
      </c>
      <c r="T87" s="1">
        <f t="shared" si="4"/>
        <v>0</v>
      </c>
      <c r="U87" s="1">
        <f t="shared" si="5"/>
        <v>0</v>
      </c>
    </row>
    <row r="88" spans="1:21" x14ac:dyDescent="0.25">
      <c r="A88" s="1" t="s">
        <v>213</v>
      </c>
      <c r="B88" s="1" t="s">
        <v>201</v>
      </c>
      <c r="C88" s="1" t="s">
        <v>41</v>
      </c>
      <c r="D88" s="2">
        <v>45027</v>
      </c>
      <c r="E88" s="2">
        <v>45077</v>
      </c>
      <c r="F88" s="2">
        <v>45027</v>
      </c>
      <c r="G88" s="2">
        <v>45077</v>
      </c>
      <c r="H88" s="1" t="s">
        <v>20</v>
      </c>
      <c r="I88" s="1">
        <v>100</v>
      </c>
      <c r="J88" s="1">
        <v>4269021</v>
      </c>
      <c r="L88" s="1" t="s">
        <v>214</v>
      </c>
      <c r="M88" s="1" t="s">
        <v>214</v>
      </c>
      <c r="N88" s="1" t="s">
        <v>22</v>
      </c>
      <c r="O88" s="1">
        <v>1</v>
      </c>
      <c r="P88" s="1" t="b">
        <v>1</v>
      </c>
      <c r="R88" s="1">
        <f t="shared" si="3"/>
        <v>0</v>
      </c>
      <c r="T88" s="1">
        <f t="shared" si="4"/>
        <v>0</v>
      </c>
      <c r="U88" s="1">
        <f t="shared" si="5"/>
        <v>0</v>
      </c>
    </row>
    <row r="89" spans="1:21" x14ac:dyDescent="0.25">
      <c r="A89" s="1" t="s">
        <v>215</v>
      </c>
      <c r="B89" s="1" t="s">
        <v>201</v>
      </c>
      <c r="C89" s="1" t="s">
        <v>45</v>
      </c>
      <c r="D89" s="2">
        <v>45077</v>
      </c>
      <c r="E89" s="2">
        <v>45140</v>
      </c>
      <c r="F89" s="2">
        <v>45077</v>
      </c>
      <c r="G89" s="2">
        <v>45140</v>
      </c>
      <c r="H89" s="1" t="s">
        <v>20</v>
      </c>
      <c r="I89" s="1">
        <v>100</v>
      </c>
      <c r="J89" s="1">
        <v>5336276</v>
      </c>
      <c r="L89" s="1" t="s">
        <v>216</v>
      </c>
      <c r="M89" s="1" t="s">
        <v>216</v>
      </c>
      <c r="N89" s="1" t="s">
        <v>22</v>
      </c>
      <c r="O89" s="1">
        <v>1</v>
      </c>
      <c r="P89" s="1" t="b">
        <v>1</v>
      </c>
      <c r="R89" s="1">
        <f t="shared" si="3"/>
        <v>0</v>
      </c>
      <c r="T89" s="1">
        <f t="shared" si="4"/>
        <v>0</v>
      </c>
      <c r="U89" s="1">
        <f t="shared" si="5"/>
        <v>0</v>
      </c>
    </row>
    <row r="90" spans="1:21" x14ac:dyDescent="0.25">
      <c r="A90" s="1" t="s">
        <v>217</v>
      </c>
      <c r="B90" s="1" t="s">
        <v>201</v>
      </c>
      <c r="C90" s="1" t="s">
        <v>48</v>
      </c>
      <c r="D90" s="2">
        <v>45140</v>
      </c>
      <c r="E90" s="2">
        <v>45158</v>
      </c>
      <c r="F90" s="2">
        <v>45140</v>
      </c>
      <c r="G90" s="2">
        <v>45158</v>
      </c>
      <c r="H90" s="1" t="s">
        <v>20</v>
      </c>
      <c r="I90" s="1">
        <v>100</v>
      </c>
      <c r="J90" s="1">
        <v>1600883</v>
      </c>
      <c r="L90" s="1" t="s">
        <v>218</v>
      </c>
      <c r="M90" s="1" t="s">
        <v>218</v>
      </c>
      <c r="N90" s="1" t="s">
        <v>22</v>
      </c>
      <c r="O90" s="1">
        <v>1</v>
      </c>
      <c r="P90" s="1" t="b">
        <v>1</v>
      </c>
      <c r="R90" s="1">
        <f t="shared" si="3"/>
        <v>0</v>
      </c>
      <c r="T90" s="1">
        <f t="shared" si="4"/>
        <v>0</v>
      </c>
      <c r="U90" s="1">
        <f t="shared" si="5"/>
        <v>0</v>
      </c>
    </row>
    <row r="91" spans="1:21" x14ac:dyDescent="0.25">
      <c r="A91" s="1" t="s">
        <v>219</v>
      </c>
      <c r="B91" s="1" t="s">
        <v>201</v>
      </c>
      <c r="C91" s="1" t="s">
        <v>51</v>
      </c>
      <c r="D91" s="2">
        <v>45158</v>
      </c>
      <c r="E91" s="2">
        <v>45170</v>
      </c>
      <c r="F91" s="2">
        <v>45158</v>
      </c>
      <c r="G91" s="2">
        <v>45170</v>
      </c>
      <c r="H91" s="1" t="s">
        <v>20</v>
      </c>
      <c r="I91" s="1">
        <v>100</v>
      </c>
      <c r="J91" s="1">
        <v>1067255</v>
      </c>
      <c r="L91" s="1" t="s">
        <v>220</v>
      </c>
      <c r="M91" s="1" t="s">
        <v>220</v>
      </c>
      <c r="N91" s="1" t="s">
        <v>22</v>
      </c>
      <c r="O91" s="1">
        <v>1</v>
      </c>
      <c r="P91" s="1" t="b">
        <v>1</v>
      </c>
      <c r="R91" s="1">
        <f t="shared" si="3"/>
        <v>0</v>
      </c>
      <c r="T91" s="1">
        <f t="shared" si="4"/>
        <v>0</v>
      </c>
      <c r="U91" s="1">
        <f t="shared" si="5"/>
        <v>0</v>
      </c>
    </row>
    <row r="92" spans="1:21" x14ac:dyDescent="0.25">
      <c r="A92" s="1" t="s">
        <v>221</v>
      </c>
      <c r="B92" s="1" t="s">
        <v>222</v>
      </c>
      <c r="C92" s="1" t="s">
        <v>19</v>
      </c>
      <c r="D92" s="2">
        <v>44676</v>
      </c>
      <c r="E92" s="2">
        <v>44710</v>
      </c>
      <c r="F92" s="2">
        <v>44676</v>
      </c>
      <c r="G92" s="2">
        <v>44710</v>
      </c>
      <c r="H92" s="1" t="s">
        <v>20</v>
      </c>
      <c r="I92" s="1">
        <v>100</v>
      </c>
      <c r="J92" s="1">
        <v>23715029</v>
      </c>
      <c r="L92" s="1" t="s">
        <v>223</v>
      </c>
      <c r="M92" s="1" t="s">
        <v>223</v>
      </c>
      <c r="N92" s="1" t="s">
        <v>22</v>
      </c>
      <c r="O92" s="1">
        <v>1</v>
      </c>
      <c r="P92" s="1" t="b">
        <v>1</v>
      </c>
      <c r="R92" s="1">
        <f t="shared" si="3"/>
        <v>0</v>
      </c>
      <c r="T92" s="1">
        <f t="shared" si="4"/>
        <v>0</v>
      </c>
      <c r="U92" s="1">
        <f t="shared" si="5"/>
        <v>0</v>
      </c>
    </row>
    <row r="93" spans="1:21" x14ac:dyDescent="0.25">
      <c r="A93" s="1" t="s">
        <v>224</v>
      </c>
      <c r="B93" s="1" t="s">
        <v>222</v>
      </c>
      <c r="C93" s="1" t="s">
        <v>24</v>
      </c>
      <c r="D93" s="2">
        <v>44710</v>
      </c>
      <c r="E93" s="2">
        <v>44779</v>
      </c>
      <c r="F93" s="2">
        <v>44710</v>
      </c>
      <c r="G93" s="2">
        <v>44779</v>
      </c>
      <c r="H93" s="1" t="s">
        <v>20</v>
      </c>
      <c r="I93" s="1">
        <v>100</v>
      </c>
      <c r="J93" s="1">
        <v>47430058</v>
      </c>
      <c r="L93" s="1" t="s">
        <v>225</v>
      </c>
      <c r="M93" s="1" t="s">
        <v>225</v>
      </c>
      <c r="N93" s="1" t="s">
        <v>22</v>
      </c>
      <c r="O93" s="1">
        <v>1</v>
      </c>
      <c r="P93" s="1" t="b">
        <v>1</v>
      </c>
      <c r="R93" s="1">
        <f t="shared" si="3"/>
        <v>0</v>
      </c>
      <c r="T93" s="1">
        <f t="shared" si="4"/>
        <v>0</v>
      </c>
      <c r="U93" s="1">
        <f t="shared" si="5"/>
        <v>0</v>
      </c>
    </row>
    <row r="94" spans="1:21" x14ac:dyDescent="0.25">
      <c r="A94" s="1" t="s">
        <v>226</v>
      </c>
      <c r="B94" s="1" t="s">
        <v>222</v>
      </c>
      <c r="C94" s="1" t="s">
        <v>27</v>
      </c>
      <c r="D94" s="2">
        <v>44779</v>
      </c>
      <c r="E94" s="2">
        <v>44861</v>
      </c>
      <c r="F94" s="2">
        <v>44779</v>
      </c>
      <c r="G94" s="2">
        <v>44861</v>
      </c>
      <c r="H94" s="1" t="s">
        <v>20</v>
      </c>
      <c r="I94" s="1">
        <v>100</v>
      </c>
      <c r="J94" s="1">
        <v>56916069</v>
      </c>
      <c r="L94" s="1" t="s">
        <v>227</v>
      </c>
      <c r="M94" s="1" t="s">
        <v>227</v>
      </c>
      <c r="N94" s="1" t="s">
        <v>22</v>
      </c>
      <c r="O94" s="1">
        <v>1</v>
      </c>
      <c r="P94" s="1" t="b">
        <v>1</v>
      </c>
      <c r="Q94" s="1" t="s">
        <v>29</v>
      </c>
      <c r="R94" s="1">
        <f t="shared" ref="R94:R118" si="6">G94-E94</f>
        <v>0</v>
      </c>
      <c r="T94" s="1">
        <f t="shared" si="4"/>
        <v>0</v>
      </c>
      <c r="U94" s="1">
        <f t="shared" si="5"/>
        <v>0</v>
      </c>
    </row>
    <row r="95" spans="1:21" x14ac:dyDescent="0.25">
      <c r="A95" s="1" t="s">
        <v>228</v>
      </c>
      <c r="B95" s="1" t="s">
        <v>222</v>
      </c>
      <c r="C95" s="1" t="s">
        <v>31</v>
      </c>
      <c r="D95" s="2">
        <v>44861</v>
      </c>
      <c r="E95" s="2">
        <v>44964</v>
      </c>
      <c r="F95" s="2">
        <v>44861</v>
      </c>
      <c r="G95" s="2">
        <v>44964</v>
      </c>
      <c r="H95" s="1" t="s">
        <v>20</v>
      </c>
      <c r="I95" s="1">
        <v>100</v>
      </c>
      <c r="J95" s="1">
        <v>71145087</v>
      </c>
      <c r="L95" s="1" t="s">
        <v>229</v>
      </c>
      <c r="M95" s="1" t="s">
        <v>229</v>
      </c>
      <c r="N95" s="1" t="s">
        <v>22</v>
      </c>
      <c r="O95" s="1">
        <v>1</v>
      </c>
      <c r="P95" s="1" t="b">
        <v>1</v>
      </c>
      <c r="R95" s="1">
        <f t="shared" si="6"/>
        <v>0</v>
      </c>
      <c r="T95" s="1">
        <f t="shared" si="4"/>
        <v>0</v>
      </c>
      <c r="U95" s="1">
        <f t="shared" si="5"/>
        <v>0</v>
      </c>
    </row>
    <row r="96" spans="1:21" x14ac:dyDescent="0.25">
      <c r="A96" s="1" t="s">
        <v>230</v>
      </c>
      <c r="B96" s="1" t="s">
        <v>222</v>
      </c>
      <c r="C96" s="1" t="s">
        <v>34</v>
      </c>
      <c r="D96" s="2">
        <v>44964</v>
      </c>
      <c r="E96" s="2">
        <v>45136</v>
      </c>
      <c r="F96" s="2">
        <v>44964</v>
      </c>
      <c r="G96" s="2">
        <v>45136</v>
      </c>
      <c r="H96" s="1" t="s">
        <v>20</v>
      </c>
      <c r="I96" s="1">
        <v>100</v>
      </c>
      <c r="J96" s="1">
        <v>118575145</v>
      </c>
      <c r="L96" s="1" t="s">
        <v>231</v>
      </c>
      <c r="M96" s="1" t="s">
        <v>231</v>
      </c>
      <c r="N96" s="1" t="s">
        <v>22</v>
      </c>
      <c r="O96" s="1">
        <v>1</v>
      </c>
      <c r="P96" s="1" t="b">
        <v>1</v>
      </c>
      <c r="Q96" s="1" t="s">
        <v>29</v>
      </c>
      <c r="R96" s="1">
        <f t="shared" si="6"/>
        <v>0</v>
      </c>
      <c r="T96" s="1">
        <f t="shared" si="4"/>
        <v>0</v>
      </c>
      <c r="U96" s="1">
        <f t="shared" si="5"/>
        <v>0</v>
      </c>
    </row>
    <row r="97" spans="1:21" x14ac:dyDescent="0.25">
      <c r="A97" s="1" t="s">
        <v>232</v>
      </c>
      <c r="B97" s="1" t="s">
        <v>222</v>
      </c>
      <c r="C97" s="1" t="s">
        <v>37</v>
      </c>
      <c r="D97" s="2">
        <v>45136</v>
      </c>
      <c r="E97" s="2">
        <v>45205</v>
      </c>
      <c r="F97" s="2">
        <v>45136</v>
      </c>
      <c r="G97" s="2">
        <v>45205</v>
      </c>
      <c r="H97" s="1" t="s">
        <v>20</v>
      </c>
      <c r="I97" s="1">
        <v>100</v>
      </c>
      <c r="J97" s="1">
        <v>47430058</v>
      </c>
      <c r="L97" s="1" t="s">
        <v>233</v>
      </c>
      <c r="M97" s="1" t="s">
        <v>233</v>
      </c>
      <c r="N97" s="1" t="s">
        <v>22</v>
      </c>
      <c r="O97" s="1">
        <v>1</v>
      </c>
      <c r="P97" s="1" t="b">
        <v>1</v>
      </c>
      <c r="R97" s="1">
        <f t="shared" si="6"/>
        <v>0</v>
      </c>
      <c r="T97" s="1">
        <f t="shared" si="4"/>
        <v>0</v>
      </c>
      <c r="U97" s="1">
        <f t="shared" si="5"/>
        <v>0</v>
      </c>
    </row>
    <row r="98" spans="1:21" x14ac:dyDescent="0.25">
      <c r="A98" s="1" t="s">
        <v>234</v>
      </c>
      <c r="B98" s="1" t="s">
        <v>222</v>
      </c>
      <c r="C98" s="1" t="s">
        <v>41</v>
      </c>
      <c r="D98" s="2">
        <v>45205</v>
      </c>
      <c r="E98" s="2">
        <v>45260</v>
      </c>
      <c r="F98" s="2">
        <v>45205</v>
      </c>
      <c r="G98" s="2">
        <v>45260</v>
      </c>
      <c r="H98" s="1" t="s">
        <v>20</v>
      </c>
      <c r="I98" s="1">
        <v>100</v>
      </c>
      <c r="J98" s="1">
        <v>37944046</v>
      </c>
      <c r="L98" s="1" t="s">
        <v>235</v>
      </c>
      <c r="M98" s="1" t="s">
        <v>235</v>
      </c>
      <c r="N98" s="1" t="s">
        <v>22</v>
      </c>
      <c r="O98" s="1">
        <v>1</v>
      </c>
      <c r="P98" s="1" t="b">
        <v>1</v>
      </c>
      <c r="R98" s="1">
        <f t="shared" si="6"/>
        <v>0</v>
      </c>
      <c r="T98" s="1">
        <f t="shared" si="4"/>
        <v>0</v>
      </c>
      <c r="U98" s="1">
        <f t="shared" si="5"/>
        <v>0</v>
      </c>
    </row>
    <row r="99" spans="1:21" x14ac:dyDescent="0.25">
      <c r="A99" s="1" t="s">
        <v>236</v>
      </c>
      <c r="B99" s="1" t="s">
        <v>222</v>
      </c>
      <c r="C99" s="1" t="s">
        <v>45</v>
      </c>
      <c r="D99" s="2">
        <v>45260</v>
      </c>
      <c r="E99" s="2">
        <v>45329</v>
      </c>
      <c r="F99" s="2">
        <v>45260</v>
      </c>
      <c r="G99" s="2">
        <v>45329</v>
      </c>
      <c r="H99" s="1" t="s">
        <v>20</v>
      </c>
      <c r="I99" s="1">
        <v>100</v>
      </c>
      <c r="J99" s="1">
        <v>47430058</v>
      </c>
      <c r="L99" s="1" t="s">
        <v>237</v>
      </c>
      <c r="M99" s="1" t="s">
        <v>237</v>
      </c>
      <c r="N99" s="1" t="s">
        <v>22</v>
      </c>
      <c r="O99" s="1">
        <v>1</v>
      </c>
      <c r="P99" s="1" t="b">
        <v>1</v>
      </c>
      <c r="R99" s="1">
        <f t="shared" si="6"/>
        <v>0</v>
      </c>
      <c r="T99" s="1">
        <f t="shared" si="4"/>
        <v>0</v>
      </c>
      <c r="U99" s="1">
        <f t="shared" si="5"/>
        <v>0</v>
      </c>
    </row>
    <row r="100" spans="1:21" x14ac:dyDescent="0.25">
      <c r="A100" s="1" t="s">
        <v>238</v>
      </c>
      <c r="B100" s="1" t="s">
        <v>222</v>
      </c>
      <c r="C100" s="1" t="s">
        <v>48</v>
      </c>
      <c r="D100" s="2">
        <v>45329</v>
      </c>
      <c r="E100" s="2">
        <v>45349</v>
      </c>
      <c r="F100" s="2">
        <v>45329</v>
      </c>
      <c r="G100" s="2">
        <v>45349</v>
      </c>
      <c r="H100" s="1" t="s">
        <v>20</v>
      </c>
      <c r="I100" s="1">
        <v>100</v>
      </c>
      <c r="J100" s="1">
        <v>14229017</v>
      </c>
      <c r="L100" s="1" t="s">
        <v>239</v>
      </c>
      <c r="M100" s="1" t="s">
        <v>239</v>
      </c>
      <c r="N100" s="1" t="s">
        <v>22</v>
      </c>
      <c r="O100" s="1">
        <v>1</v>
      </c>
      <c r="P100" s="1" t="b">
        <v>1</v>
      </c>
      <c r="R100" s="1">
        <f t="shared" si="6"/>
        <v>0</v>
      </c>
      <c r="T100" s="1">
        <f t="shared" si="4"/>
        <v>0</v>
      </c>
      <c r="U100" s="1">
        <f t="shared" si="5"/>
        <v>0</v>
      </c>
    </row>
    <row r="101" spans="1:21" x14ac:dyDescent="0.25">
      <c r="A101" s="1" t="s">
        <v>240</v>
      </c>
      <c r="B101" s="1" t="s">
        <v>222</v>
      </c>
      <c r="C101" s="1" t="s">
        <v>51</v>
      </c>
      <c r="D101" s="2">
        <v>45349</v>
      </c>
      <c r="E101" s="2">
        <v>45362</v>
      </c>
      <c r="F101" s="2">
        <v>45349</v>
      </c>
      <c r="G101" s="2">
        <v>45362</v>
      </c>
      <c r="H101" s="1" t="s">
        <v>20</v>
      </c>
      <c r="I101" s="1">
        <v>100</v>
      </c>
      <c r="J101" s="1">
        <v>9486011</v>
      </c>
      <c r="L101" s="1" t="s">
        <v>241</v>
      </c>
      <c r="M101" s="1" t="s">
        <v>241</v>
      </c>
      <c r="N101" s="1" t="s">
        <v>22</v>
      </c>
      <c r="O101" s="1">
        <v>1</v>
      </c>
      <c r="P101" s="1" t="b">
        <v>1</v>
      </c>
      <c r="R101" s="1">
        <f t="shared" si="6"/>
        <v>0</v>
      </c>
      <c r="T101" s="1">
        <f t="shared" si="4"/>
        <v>0</v>
      </c>
      <c r="U101" s="1">
        <f t="shared" si="5"/>
        <v>0</v>
      </c>
    </row>
    <row r="102" spans="1:21" x14ac:dyDescent="0.25">
      <c r="A102" s="1" t="s">
        <v>242</v>
      </c>
      <c r="B102" s="1" t="s">
        <v>243</v>
      </c>
      <c r="C102" s="1" t="s">
        <v>19</v>
      </c>
      <c r="D102" s="2">
        <v>44413</v>
      </c>
      <c r="E102" s="2">
        <v>44446</v>
      </c>
      <c r="F102" s="2">
        <v>44413</v>
      </c>
      <c r="G102" s="2">
        <v>44446</v>
      </c>
      <c r="H102" s="1" t="s">
        <v>20</v>
      </c>
      <c r="I102" s="1">
        <v>100</v>
      </c>
      <c r="J102" s="1">
        <v>9072421</v>
      </c>
      <c r="L102" s="1" t="s">
        <v>244</v>
      </c>
      <c r="M102" s="1" t="s">
        <v>244</v>
      </c>
      <c r="N102" s="1" t="s">
        <v>22</v>
      </c>
      <c r="O102" s="1">
        <v>1</v>
      </c>
      <c r="P102" s="1" t="b">
        <v>1</v>
      </c>
      <c r="R102" s="1">
        <f t="shared" si="6"/>
        <v>0</v>
      </c>
      <c r="T102" s="1">
        <f t="shared" si="4"/>
        <v>0</v>
      </c>
      <c r="U102" s="1">
        <f t="shared" si="5"/>
        <v>0</v>
      </c>
    </row>
    <row r="103" spans="1:21" x14ac:dyDescent="0.25">
      <c r="A103" s="1" t="s">
        <v>245</v>
      </c>
      <c r="B103" s="1" t="s">
        <v>243</v>
      </c>
      <c r="C103" s="1" t="s">
        <v>24</v>
      </c>
      <c r="D103" s="2">
        <v>44446</v>
      </c>
      <c r="E103" s="2">
        <v>44512</v>
      </c>
      <c r="F103" s="2">
        <v>44446</v>
      </c>
      <c r="G103" s="2">
        <v>44512</v>
      </c>
      <c r="H103" s="1" t="s">
        <v>20</v>
      </c>
      <c r="I103" s="1">
        <v>100</v>
      </c>
      <c r="J103" s="1">
        <v>18144843</v>
      </c>
      <c r="L103" s="1" t="s">
        <v>246</v>
      </c>
      <c r="M103" s="1" t="s">
        <v>246</v>
      </c>
      <c r="N103" s="1" t="s">
        <v>22</v>
      </c>
      <c r="O103" s="1">
        <v>1</v>
      </c>
      <c r="P103" s="1" t="b">
        <v>1</v>
      </c>
      <c r="R103" s="1">
        <f t="shared" si="6"/>
        <v>0</v>
      </c>
      <c r="T103" s="1">
        <f t="shared" si="4"/>
        <v>0</v>
      </c>
      <c r="U103" s="1">
        <f t="shared" si="5"/>
        <v>0</v>
      </c>
    </row>
    <row r="104" spans="1:21" x14ac:dyDescent="0.25">
      <c r="A104" s="1" t="s">
        <v>247</v>
      </c>
      <c r="B104" s="1" t="s">
        <v>243</v>
      </c>
      <c r="C104" s="1" t="s">
        <v>27</v>
      </c>
      <c r="D104" s="2">
        <v>44512</v>
      </c>
      <c r="E104" s="2">
        <v>44591</v>
      </c>
      <c r="F104" s="2">
        <v>44512</v>
      </c>
      <c r="G104" s="2">
        <v>44591</v>
      </c>
      <c r="H104" s="1" t="s">
        <v>20</v>
      </c>
      <c r="I104" s="1">
        <v>100</v>
      </c>
      <c r="J104" s="1">
        <v>21773812</v>
      </c>
      <c r="L104" s="1" t="s">
        <v>248</v>
      </c>
      <c r="M104" s="1" t="s">
        <v>248</v>
      </c>
      <c r="N104" s="1" t="s">
        <v>22</v>
      </c>
      <c r="O104" s="1">
        <v>1</v>
      </c>
      <c r="P104" s="1" t="b">
        <v>1</v>
      </c>
      <c r="Q104" s="1" t="s">
        <v>29</v>
      </c>
      <c r="R104" s="1">
        <f t="shared" si="6"/>
        <v>0</v>
      </c>
      <c r="T104" s="1">
        <f t="shared" si="4"/>
        <v>0</v>
      </c>
      <c r="U104" s="1">
        <f t="shared" si="5"/>
        <v>0</v>
      </c>
    </row>
    <row r="105" spans="1:21" x14ac:dyDescent="0.25">
      <c r="A105" s="1" t="s">
        <v>249</v>
      </c>
      <c r="B105" s="1" t="s">
        <v>243</v>
      </c>
      <c r="C105" s="1" t="s">
        <v>31</v>
      </c>
      <c r="D105" s="2">
        <v>44591</v>
      </c>
      <c r="E105" s="2">
        <v>44690</v>
      </c>
      <c r="F105" s="2">
        <v>44591</v>
      </c>
      <c r="G105" s="2">
        <v>44690</v>
      </c>
      <c r="H105" s="1" t="s">
        <v>20</v>
      </c>
      <c r="I105" s="1">
        <v>100</v>
      </c>
      <c r="J105" s="1">
        <v>27217265</v>
      </c>
      <c r="L105" s="1" t="s">
        <v>250</v>
      </c>
      <c r="M105" s="1" t="s">
        <v>250</v>
      </c>
      <c r="N105" s="1" t="s">
        <v>22</v>
      </c>
      <c r="O105" s="1">
        <v>1</v>
      </c>
      <c r="P105" s="1" t="b">
        <v>1</v>
      </c>
      <c r="R105" s="1">
        <f t="shared" si="6"/>
        <v>0</v>
      </c>
      <c r="T105" s="1">
        <f t="shared" si="4"/>
        <v>0</v>
      </c>
      <c r="U105" s="1">
        <f t="shared" si="5"/>
        <v>0</v>
      </c>
    </row>
    <row r="106" spans="1:21" x14ac:dyDescent="0.25">
      <c r="A106" s="1" t="s">
        <v>251</v>
      </c>
      <c r="B106" s="1" t="s">
        <v>243</v>
      </c>
      <c r="C106" s="1" t="s">
        <v>34</v>
      </c>
      <c r="D106" s="2">
        <v>44690</v>
      </c>
      <c r="E106" s="2">
        <v>44855</v>
      </c>
      <c r="F106" s="2">
        <v>44690</v>
      </c>
      <c r="G106" s="2">
        <v>44855</v>
      </c>
      <c r="H106" s="1" t="s">
        <v>20</v>
      </c>
      <c r="I106" s="1">
        <v>100</v>
      </c>
      <c r="J106" s="1">
        <v>45362109</v>
      </c>
      <c r="L106" s="1" t="s">
        <v>252</v>
      </c>
      <c r="M106" s="1" t="s">
        <v>252</v>
      </c>
      <c r="N106" s="1" t="s">
        <v>22</v>
      </c>
      <c r="O106" s="1">
        <v>1</v>
      </c>
      <c r="P106" s="1" t="b">
        <v>1</v>
      </c>
      <c r="Q106" s="1" t="s">
        <v>29</v>
      </c>
      <c r="R106" s="1">
        <f t="shared" si="6"/>
        <v>0</v>
      </c>
      <c r="T106" s="1">
        <f t="shared" si="4"/>
        <v>0</v>
      </c>
      <c r="U106" s="1">
        <f t="shared" si="5"/>
        <v>0</v>
      </c>
    </row>
    <row r="107" spans="1:21" x14ac:dyDescent="0.25">
      <c r="A107" s="1" t="s">
        <v>253</v>
      </c>
      <c r="B107" s="1" t="s">
        <v>243</v>
      </c>
      <c r="C107" s="1" t="s">
        <v>37</v>
      </c>
      <c r="D107" s="2">
        <v>44855</v>
      </c>
      <c r="E107" s="2">
        <v>44921</v>
      </c>
      <c r="F107" s="2">
        <v>44855</v>
      </c>
      <c r="G107" s="2">
        <v>44921</v>
      </c>
      <c r="H107" s="1" t="s">
        <v>20</v>
      </c>
      <c r="I107" s="1">
        <v>100</v>
      </c>
      <c r="J107" s="1">
        <v>18144843</v>
      </c>
      <c r="L107" s="1" t="s">
        <v>254</v>
      </c>
      <c r="M107" s="1" t="s">
        <v>254</v>
      </c>
      <c r="N107" s="1" t="s">
        <v>22</v>
      </c>
      <c r="O107" s="1">
        <v>1</v>
      </c>
      <c r="P107" s="1" t="b">
        <v>1</v>
      </c>
      <c r="R107" s="1">
        <f t="shared" si="6"/>
        <v>0</v>
      </c>
      <c r="T107" s="1">
        <f t="shared" si="4"/>
        <v>0</v>
      </c>
      <c r="U107" s="1">
        <f t="shared" si="5"/>
        <v>0</v>
      </c>
    </row>
    <row r="108" spans="1:21" x14ac:dyDescent="0.25">
      <c r="A108" s="1" t="s">
        <v>255</v>
      </c>
      <c r="B108" s="1" t="s">
        <v>243</v>
      </c>
      <c r="C108" s="1" t="s">
        <v>41</v>
      </c>
      <c r="D108" s="2">
        <v>44921</v>
      </c>
      <c r="E108" s="2">
        <v>44973</v>
      </c>
      <c r="F108" s="2">
        <v>44921</v>
      </c>
      <c r="G108" s="2">
        <v>44973</v>
      </c>
      <c r="H108" s="1" t="s">
        <v>20</v>
      </c>
      <c r="I108" s="1">
        <v>100</v>
      </c>
      <c r="J108" s="1">
        <v>14515875</v>
      </c>
      <c r="L108" s="1" t="s">
        <v>256</v>
      </c>
      <c r="M108" s="1" t="s">
        <v>256</v>
      </c>
      <c r="N108" s="1" t="s">
        <v>22</v>
      </c>
      <c r="O108" s="1">
        <v>1</v>
      </c>
      <c r="P108" s="1" t="b">
        <v>1</v>
      </c>
      <c r="R108" s="1">
        <f t="shared" si="6"/>
        <v>0</v>
      </c>
      <c r="T108" s="1">
        <f t="shared" si="4"/>
        <v>0</v>
      </c>
      <c r="U108" s="1">
        <f t="shared" si="5"/>
        <v>0</v>
      </c>
    </row>
    <row r="109" spans="1:21" x14ac:dyDescent="0.25">
      <c r="A109" s="1" t="s">
        <v>257</v>
      </c>
      <c r="B109" s="1" t="s">
        <v>243</v>
      </c>
      <c r="C109" s="1" t="s">
        <v>45</v>
      </c>
      <c r="D109" s="2">
        <v>44973</v>
      </c>
      <c r="E109" s="2">
        <v>45039</v>
      </c>
      <c r="F109" s="2">
        <v>44973</v>
      </c>
      <c r="G109" s="2">
        <v>45039</v>
      </c>
      <c r="H109" s="1" t="s">
        <v>20</v>
      </c>
      <c r="I109" s="1">
        <v>100</v>
      </c>
      <c r="J109" s="1">
        <v>18144843</v>
      </c>
      <c r="L109" s="1" t="s">
        <v>258</v>
      </c>
      <c r="M109" s="1" t="s">
        <v>258</v>
      </c>
      <c r="N109" s="1" t="s">
        <v>22</v>
      </c>
      <c r="O109" s="1">
        <v>1</v>
      </c>
      <c r="P109" s="1" t="b">
        <v>1</v>
      </c>
      <c r="R109" s="1">
        <f t="shared" si="6"/>
        <v>0</v>
      </c>
      <c r="T109" s="1">
        <f t="shared" si="4"/>
        <v>0</v>
      </c>
      <c r="U109" s="1">
        <f t="shared" si="5"/>
        <v>0</v>
      </c>
    </row>
    <row r="110" spans="1:21" x14ac:dyDescent="0.25">
      <c r="A110" s="1" t="s">
        <v>259</v>
      </c>
      <c r="B110" s="1" t="s">
        <v>243</v>
      </c>
      <c r="C110" s="1" t="s">
        <v>48</v>
      </c>
      <c r="D110" s="2">
        <v>45039</v>
      </c>
      <c r="E110" s="2">
        <v>45058</v>
      </c>
      <c r="F110" s="2">
        <v>45039</v>
      </c>
      <c r="G110" s="2">
        <v>45058</v>
      </c>
      <c r="H110" s="1" t="s">
        <v>20</v>
      </c>
      <c r="I110" s="1">
        <v>100</v>
      </c>
      <c r="J110" s="1">
        <v>5443453</v>
      </c>
      <c r="L110" s="1" t="s">
        <v>260</v>
      </c>
      <c r="M110" s="1" t="s">
        <v>260</v>
      </c>
      <c r="N110" s="1" t="s">
        <v>22</v>
      </c>
      <c r="O110" s="1">
        <v>1</v>
      </c>
      <c r="P110" s="1" t="b">
        <v>1</v>
      </c>
      <c r="R110" s="1">
        <f t="shared" si="6"/>
        <v>0</v>
      </c>
      <c r="T110" s="1">
        <f t="shared" si="4"/>
        <v>0</v>
      </c>
      <c r="U110" s="1">
        <f t="shared" si="5"/>
        <v>0</v>
      </c>
    </row>
    <row r="111" spans="1:21" x14ac:dyDescent="0.25">
      <c r="A111" s="1" t="s">
        <v>261</v>
      </c>
      <c r="B111" s="1" t="s">
        <v>243</v>
      </c>
      <c r="C111" s="1" t="s">
        <v>51</v>
      </c>
      <c r="D111" s="2">
        <v>45058</v>
      </c>
      <c r="E111" s="2">
        <v>45071</v>
      </c>
      <c r="F111" s="2">
        <v>45058</v>
      </c>
      <c r="G111" s="2">
        <v>45071</v>
      </c>
      <c r="H111" s="1" t="s">
        <v>20</v>
      </c>
      <c r="I111" s="1">
        <v>100</v>
      </c>
      <c r="J111" s="1">
        <v>3628968</v>
      </c>
      <c r="L111" s="1" t="s">
        <v>262</v>
      </c>
      <c r="M111" s="1" t="s">
        <v>262</v>
      </c>
      <c r="N111" s="1" t="s">
        <v>22</v>
      </c>
      <c r="O111" s="1">
        <v>1</v>
      </c>
      <c r="P111" s="1" t="b">
        <v>1</v>
      </c>
      <c r="R111" s="1">
        <f t="shared" si="6"/>
        <v>0</v>
      </c>
      <c r="T111" s="1">
        <f t="shared" si="4"/>
        <v>0</v>
      </c>
      <c r="U111" s="1">
        <f t="shared" si="5"/>
        <v>0</v>
      </c>
    </row>
    <row r="112" spans="1:21" x14ac:dyDescent="0.25">
      <c r="A112" s="1" t="s">
        <v>263</v>
      </c>
      <c r="B112" s="1" t="s">
        <v>264</v>
      </c>
      <c r="C112" s="1" t="s">
        <v>19</v>
      </c>
      <c r="D112" s="2">
        <v>45140</v>
      </c>
      <c r="E112" s="2">
        <v>45194</v>
      </c>
      <c r="F112" s="2">
        <v>45140</v>
      </c>
      <c r="G112" s="2">
        <v>45194</v>
      </c>
      <c r="H112" s="1" t="s">
        <v>20</v>
      </c>
      <c r="I112" s="1">
        <v>100</v>
      </c>
      <c r="J112" s="1">
        <v>18769427</v>
      </c>
      <c r="L112" s="1" t="s">
        <v>265</v>
      </c>
      <c r="M112" s="1" t="s">
        <v>265</v>
      </c>
      <c r="N112" s="1" t="s">
        <v>22</v>
      </c>
      <c r="O112" s="1">
        <v>1</v>
      </c>
      <c r="P112" s="1" t="b">
        <v>1</v>
      </c>
      <c r="R112" s="1">
        <f t="shared" si="6"/>
        <v>0</v>
      </c>
      <c r="T112" s="1">
        <f t="shared" si="4"/>
        <v>0</v>
      </c>
      <c r="U112" s="1">
        <f t="shared" si="5"/>
        <v>0</v>
      </c>
    </row>
    <row r="113" spans="1:21" x14ac:dyDescent="0.25">
      <c r="A113" s="1" t="s">
        <v>266</v>
      </c>
      <c r="B113" s="1" t="s">
        <v>264</v>
      </c>
      <c r="C113" s="1" t="s">
        <v>24</v>
      </c>
      <c r="D113" s="2">
        <v>45194</v>
      </c>
      <c r="E113" s="2">
        <v>45302</v>
      </c>
      <c r="F113" s="2">
        <v>45194</v>
      </c>
      <c r="G113" s="2">
        <v>45302</v>
      </c>
      <c r="H113" s="1" t="s">
        <v>20</v>
      </c>
      <c r="I113" s="1">
        <v>100</v>
      </c>
      <c r="J113" s="1">
        <v>37538854</v>
      </c>
      <c r="L113" s="1" t="s">
        <v>267</v>
      </c>
      <c r="M113" s="1" t="s">
        <v>267</v>
      </c>
      <c r="N113" s="1" t="s">
        <v>22</v>
      </c>
      <c r="O113" s="1">
        <v>1</v>
      </c>
      <c r="P113" s="1" t="b">
        <v>1</v>
      </c>
      <c r="R113" s="1">
        <f t="shared" si="6"/>
        <v>0</v>
      </c>
      <c r="T113" s="1">
        <f t="shared" si="4"/>
        <v>0</v>
      </c>
      <c r="U113" s="1">
        <f t="shared" si="5"/>
        <v>0</v>
      </c>
    </row>
    <row r="114" spans="1:21" x14ac:dyDescent="0.25">
      <c r="A114" s="1" t="s">
        <v>268</v>
      </c>
      <c r="B114" s="1" t="s">
        <v>264</v>
      </c>
      <c r="C114" s="1" t="s">
        <v>27</v>
      </c>
      <c r="D114" s="2">
        <v>45302</v>
      </c>
      <c r="E114" s="2">
        <v>45431</v>
      </c>
      <c r="F114" s="2">
        <v>45302</v>
      </c>
      <c r="G114" s="2">
        <v>45431</v>
      </c>
      <c r="H114" s="1" t="s">
        <v>20</v>
      </c>
      <c r="I114" s="1">
        <v>100</v>
      </c>
      <c r="J114" s="1">
        <v>45046625</v>
      </c>
      <c r="L114" s="1" t="s">
        <v>269</v>
      </c>
      <c r="M114" s="1" t="s">
        <v>269</v>
      </c>
      <c r="N114" s="1" t="s">
        <v>22</v>
      </c>
      <c r="O114" s="1">
        <v>1</v>
      </c>
      <c r="P114" s="1" t="b">
        <v>1</v>
      </c>
      <c r="Q114" s="1" t="s">
        <v>29</v>
      </c>
      <c r="R114" s="1">
        <f t="shared" si="6"/>
        <v>0</v>
      </c>
      <c r="T114" s="1">
        <f t="shared" si="4"/>
        <v>0</v>
      </c>
      <c r="U114" s="1">
        <f t="shared" si="5"/>
        <v>0</v>
      </c>
    </row>
    <row r="115" spans="1:21" x14ac:dyDescent="0.25">
      <c r="A115" s="1" t="s">
        <v>270</v>
      </c>
      <c r="B115" s="1" t="s">
        <v>264</v>
      </c>
      <c r="C115" s="1" t="s">
        <v>31</v>
      </c>
      <c r="D115" s="2">
        <v>45431</v>
      </c>
      <c r="E115" s="2">
        <v>45593</v>
      </c>
      <c r="F115" s="2">
        <v>45431</v>
      </c>
      <c r="G115" s="2">
        <v>45593</v>
      </c>
      <c r="H115" s="1" t="s">
        <v>20</v>
      </c>
      <c r="I115" s="1">
        <v>100</v>
      </c>
      <c r="J115" s="1">
        <v>56308282</v>
      </c>
      <c r="L115" s="1" t="s">
        <v>271</v>
      </c>
      <c r="M115" s="1" t="s">
        <v>271</v>
      </c>
      <c r="N115" s="1" t="s">
        <v>22</v>
      </c>
      <c r="O115" s="1">
        <v>1</v>
      </c>
      <c r="P115" s="1" t="b">
        <v>1</v>
      </c>
      <c r="R115" s="1">
        <f t="shared" si="6"/>
        <v>0</v>
      </c>
      <c r="T115" s="1">
        <f t="shared" si="4"/>
        <v>0</v>
      </c>
      <c r="U115" s="1">
        <f t="shared" si="5"/>
        <v>0</v>
      </c>
    </row>
    <row r="116" spans="1:21" x14ac:dyDescent="0.25">
      <c r="A116" s="1" t="s">
        <v>272</v>
      </c>
      <c r="B116" s="1" t="s">
        <v>264</v>
      </c>
      <c r="C116" s="1" t="s">
        <v>34</v>
      </c>
      <c r="D116" s="2">
        <v>45593</v>
      </c>
      <c r="E116" s="2">
        <v>45863</v>
      </c>
      <c r="F116" s="2">
        <v>45593</v>
      </c>
      <c r="G116" s="2">
        <v>45863</v>
      </c>
      <c r="H116" s="1" t="s">
        <v>20</v>
      </c>
      <c r="I116" s="1">
        <v>100</v>
      </c>
      <c r="J116" s="1">
        <v>93847136</v>
      </c>
      <c r="L116" s="1" t="s">
        <v>273</v>
      </c>
      <c r="M116" s="1" t="s">
        <v>273</v>
      </c>
      <c r="N116" s="1" t="s">
        <v>22</v>
      </c>
      <c r="O116" s="1">
        <v>1</v>
      </c>
      <c r="P116" s="1" t="b">
        <v>1</v>
      </c>
      <c r="Q116" s="1" t="s">
        <v>29</v>
      </c>
      <c r="R116" s="1">
        <f t="shared" si="6"/>
        <v>0</v>
      </c>
      <c r="T116" s="1">
        <f t="shared" si="4"/>
        <v>0</v>
      </c>
      <c r="U116" s="1">
        <f t="shared" si="5"/>
        <v>0</v>
      </c>
    </row>
    <row r="117" spans="1:21" x14ac:dyDescent="0.25">
      <c r="A117" s="1" t="s">
        <v>274</v>
      </c>
      <c r="B117" s="1" t="s">
        <v>264</v>
      </c>
      <c r="C117" s="1" t="s">
        <v>37</v>
      </c>
      <c r="D117" s="2">
        <v>45863</v>
      </c>
      <c r="E117" s="2">
        <v>45971</v>
      </c>
      <c r="F117" s="2">
        <v>45863</v>
      </c>
      <c r="G117" s="2">
        <v>45971</v>
      </c>
      <c r="H117" s="1" t="s">
        <v>20</v>
      </c>
      <c r="I117" s="1">
        <v>100</v>
      </c>
      <c r="J117" s="1">
        <v>37538854</v>
      </c>
      <c r="L117" s="1" t="s">
        <v>275</v>
      </c>
      <c r="M117" s="1" t="s">
        <v>275</v>
      </c>
      <c r="N117" s="1" t="s">
        <v>22</v>
      </c>
      <c r="O117" s="1">
        <v>1</v>
      </c>
      <c r="P117" s="1" t="b">
        <v>1</v>
      </c>
      <c r="R117" s="1">
        <f t="shared" si="6"/>
        <v>0</v>
      </c>
      <c r="T117" s="1">
        <f t="shared" si="4"/>
        <v>0</v>
      </c>
      <c r="U117" s="1">
        <f t="shared" si="5"/>
        <v>0</v>
      </c>
    </row>
    <row r="118" spans="1:21" x14ac:dyDescent="0.25">
      <c r="A118" s="1" t="s">
        <v>276</v>
      </c>
      <c r="B118" s="1" t="s">
        <v>264</v>
      </c>
      <c r="C118" s="1" t="s">
        <v>41</v>
      </c>
      <c r="D118" s="2">
        <v>45971</v>
      </c>
      <c r="E118" s="2">
        <v>46057</v>
      </c>
      <c r="F118" s="2">
        <v>45971</v>
      </c>
      <c r="G118" s="2">
        <v>46057</v>
      </c>
      <c r="H118" s="1" t="s">
        <v>20</v>
      </c>
      <c r="I118" s="1">
        <v>100</v>
      </c>
      <c r="J118" s="1">
        <v>30031083</v>
      </c>
      <c r="L118" s="1" t="s">
        <v>277</v>
      </c>
      <c r="M118" s="1" t="s">
        <v>277</v>
      </c>
      <c r="N118" s="1" t="s">
        <v>22</v>
      </c>
      <c r="O118" s="1">
        <v>1</v>
      </c>
      <c r="P118" s="1" t="b">
        <v>1</v>
      </c>
      <c r="R118" s="1">
        <f t="shared" si="6"/>
        <v>0</v>
      </c>
      <c r="T118" s="1">
        <f t="shared" si="4"/>
        <v>0</v>
      </c>
      <c r="U118" s="1">
        <f t="shared" si="5"/>
        <v>0</v>
      </c>
    </row>
    <row r="119" spans="1:21" x14ac:dyDescent="0.25">
      <c r="A119" s="1" t="s">
        <v>278</v>
      </c>
      <c r="B119" s="1" t="s">
        <v>264</v>
      </c>
      <c r="C119" s="1" t="s">
        <v>45</v>
      </c>
      <c r="D119" s="2">
        <v>46057</v>
      </c>
      <c r="E119" s="2">
        <v>46165</v>
      </c>
      <c r="F119" s="2">
        <v>46057</v>
      </c>
      <c r="H119" s="1" t="s">
        <v>38</v>
      </c>
      <c r="I119" s="1">
        <v>70</v>
      </c>
      <c r="J119" s="1">
        <v>37538854</v>
      </c>
      <c r="L119" s="1" t="s">
        <v>279</v>
      </c>
      <c r="M119" s="1" t="s">
        <v>279</v>
      </c>
      <c r="N119" s="1" t="s">
        <v>22</v>
      </c>
      <c r="O119" s="1">
        <v>1</v>
      </c>
      <c r="P119" s="1" t="b">
        <v>1</v>
      </c>
      <c r="S119" s="1">
        <f>R$7-E119</f>
        <v>129</v>
      </c>
      <c r="T119" s="1">
        <f t="shared" si="4"/>
        <v>1</v>
      </c>
      <c r="U119" s="1">
        <f t="shared" si="5"/>
        <v>129</v>
      </c>
    </row>
    <row r="120" spans="1:21" x14ac:dyDescent="0.25">
      <c r="A120" s="1" t="s">
        <v>280</v>
      </c>
      <c r="B120" s="1" t="s">
        <v>264</v>
      </c>
      <c r="C120" s="1" t="s">
        <v>48</v>
      </c>
      <c r="D120" s="2">
        <v>46165</v>
      </c>
      <c r="E120" s="2">
        <v>46197</v>
      </c>
      <c r="H120" s="1" t="s">
        <v>42</v>
      </c>
      <c r="I120" s="1">
        <v>0</v>
      </c>
      <c r="J120" s="1">
        <v>11261656</v>
      </c>
      <c r="L120" s="1" t="s">
        <v>281</v>
      </c>
      <c r="M120" s="1" t="s">
        <v>281</v>
      </c>
      <c r="N120" s="1" t="s">
        <v>22</v>
      </c>
      <c r="O120" s="1">
        <v>1</v>
      </c>
      <c r="P120" s="1" t="b">
        <v>1</v>
      </c>
      <c r="S120" s="1">
        <f>R$7-E120</f>
        <v>97</v>
      </c>
      <c r="T120" s="1">
        <f t="shared" si="4"/>
        <v>1</v>
      </c>
      <c r="U120" s="1">
        <f t="shared" si="5"/>
        <v>97</v>
      </c>
    </row>
    <row r="121" spans="1:21" x14ac:dyDescent="0.25">
      <c r="A121" s="1" t="s">
        <v>282</v>
      </c>
      <c r="B121" s="1" t="s">
        <v>264</v>
      </c>
      <c r="C121" s="1" t="s">
        <v>51</v>
      </c>
      <c r="D121" s="2">
        <v>46197</v>
      </c>
      <c r="E121" s="2">
        <v>46218</v>
      </c>
      <c r="H121" s="1" t="s">
        <v>42</v>
      </c>
      <c r="I121"/>
      <c r="J121" s="1">
        <v>7507770</v>
      </c>
      <c r="L121" s="1" t="s">
        <v>283</v>
      </c>
      <c r="M121" s="1" t="s">
        <v>283</v>
      </c>
      <c r="N121" s="1" t="s">
        <v>22</v>
      </c>
      <c r="O121" s="1">
        <v>1</v>
      </c>
      <c r="P121" s="1" t="b">
        <v>1</v>
      </c>
      <c r="S121" s="1">
        <f>R$7-E121</f>
        <v>76</v>
      </c>
      <c r="T121" s="1">
        <f t="shared" si="4"/>
        <v>1</v>
      </c>
      <c r="U121" s="1">
        <f t="shared" si="5"/>
        <v>76</v>
      </c>
    </row>
    <row r="122" spans="1:21" x14ac:dyDescent="0.25">
      <c r="A122" s="1" t="s">
        <v>284</v>
      </c>
      <c r="B122" s="1" t="s">
        <v>285</v>
      </c>
      <c r="C122" s="1" t="s">
        <v>19</v>
      </c>
      <c r="D122" s="2">
        <v>45018</v>
      </c>
      <c r="E122" s="2">
        <v>45052</v>
      </c>
      <c r="F122" s="2">
        <v>45018</v>
      </c>
      <c r="G122" s="2">
        <v>45052</v>
      </c>
      <c r="H122" s="1" t="s">
        <v>20</v>
      </c>
      <c r="I122" s="1">
        <v>100</v>
      </c>
      <c r="J122" s="1">
        <v>16660081</v>
      </c>
      <c r="L122" s="1" t="s">
        <v>286</v>
      </c>
      <c r="M122" s="1" t="s">
        <v>286</v>
      </c>
      <c r="N122" s="1" t="s">
        <v>22</v>
      </c>
      <c r="O122" s="1">
        <v>1</v>
      </c>
      <c r="P122" s="1" t="b">
        <v>1</v>
      </c>
      <c r="R122" s="1">
        <f t="shared" ref="R122:R153" si="7">G122-E122</f>
        <v>0</v>
      </c>
      <c r="T122" s="1">
        <f t="shared" si="4"/>
        <v>0</v>
      </c>
      <c r="U122" s="1">
        <f t="shared" si="5"/>
        <v>0</v>
      </c>
    </row>
    <row r="123" spans="1:21" x14ac:dyDescent="0.25">
      <c r="A123" s="1" t="s">
        <v>287</v>
      </c>
      <c r="B123" s="1" t="s">
        <v>285</v>
      </c>
      <c r="C123" s="1" t="s">
        <v>24</v>
      </c>
      <c r="D123" s="2">
        <v>45052</v>
      </c>
      <c r="E123" s="2">
        <v>45121</v>
      </c>
      <c r="F123" s="2">
        <v>45052</v>
      </c>
      <c r="G123" s="2">
        <v>45121</v>
      </c>
      <c r="H123" s="1" t="s">
        <v>20</v>
      </c>
      <c r="I123" s="1">
        <v>100</v>
      </c>
      <c r="J123" s="1">
        <v>33320162</v>
      </c>
      <c r="L123" s="1" t="s">
        <v>288</v>
      </c>
      <c r="M123" s="1" t="s">
        <v>288</v>
      </c>
      <c r="N123" s="1" t="s">
        <v>22</v>
      </c>
      <c r="O123" s="1">
        <v>1</v>
      </c>
      <c r="P123" s="1" t="b">
        <v>1</v>
      </c>
      <c r="R123" s="1">
        <f t="shared" si="7"/>
        <v>0</v>
      </c>
      <c r="T123" s="1">
        <f t="shared" si="4"/>
        <v>0</v>
      </c>
      <c r="U123" s="1">
        <f t="shared" si="5"/>
        <v>0</v>
      </c>
    </row>
    <row r="124" spans="1:21" x14ac:dyDescent="0.25">
      <c r="A124" s="1" t="s">
        <v>289</v>
      </c>
      <c r="B124" s="1" t="s">
        <v>285</v>
      </c>
      <c r="C124" s="1" t="s">
        <v>27</v>
      </c>
      <c r="D124" s="2">
        <v>45121</v>
      </c>
      <c r="E124" s="2">
        <v>45203</v>
      </c>
      <c r="F124" s="2">
        <v>45121</v>
      </c>
      <c r="G124" s="2">
        <v>45203</v>
      </c>
      <c r="H124" s="1" t="s">
        <v>20</v>
      </c>
      <c r="I124" s="1">
        <v>100</v>
      </c>
      <c r="J124" s="1">
        <v>39984194</v>
      </c>
      <c r="L124" s="1" t="s">
        <v>290</v>
      </c>
      <c r="M124" s="1" t="s">
        <v>290</v>
      </c>
      <c r="N124" s="1" t="s">
        <v>22</v>
      </c>
      <c r="O124" s="1">
        <v>1</v>
      </c>
      <c r="P124" s="1" t="b">
        <v>1</v>
      </c>
      <c r="Q124" s="1" t="s">
        <v>29</v>
      </c>
      <c r="R124" s="1">
        <f t="shared" si="7"/>
        <v>0</v>
      </c>
      <c r="T124" s="1">
        <f t="shared" si="4"/>
        <v>0</v>
      </c>
      <c r="U124" s="1">
        <f t="shared" si="5"/>
        <v>0</v>
      </c>
    </row>
    <row r="125" spans="1:21" x14ac:dyDescent="0.25">
      <c r="A125" s="1" t="s">
        <v>291</v>
      </c>
      <c r="B125" s="1" t="s">
        <v>285</v>
      </c>
      <c r="C125" s="1" t="s">
        <v>31</v>
      </c>
      <c r="D125" s="2">
        <v>45203</v>
      </c>
      <c r="E125" s="2">
        <v>45306</v>
      </c>
      <c r="F125" s="2">
        <v>45203</v>
      </c>
      <c r="G125" s="2">
        <v>45306</v>
      </c>
      <c r="H125" s="1" t="s">
        <v>20</v>
      </c>
      <c r="I125" s="1">
        <v>100</v>
      </c>
      <c r="J125" s="1">
        <v>49980243</v>
      </c>
      <c r="L125" s="1" t="s">
        <v>292</v>
      </c>
      <c r="M125" s="1" t="s">
        <v>292</v>
      </c>
      <c r="N125" s="1" t="s">
        <v>22</v>
      </c>
      <c r="O125" s="1">
        <v>1</v>
      </c>
      <c r="P125" s="1" t="b">
        <v>1</v>
      </c>
      <c r="R125" s="1">
        <f t="shared" si="7"/>
        <v>0</v>
      </c>
      <c r="T125" s="1">
        <f t="shared" si="4"/>
        <v>0</v>
      </c>
      <c r="U125" s="1">
        <f t="shared" si="5"/>
        <v>0</v>
      </c>
    </row>
    <row r="126" spans="1:21" x14ac:dyDescent="0.25">
      <c r="A126" s="1" t="s">
        <v>293</v>
      </c>
      <c r="B126" s="1" t="s">
        <v>285</v>
      </c>
      <c r="C126" s="1" t="s">
        <v>34</v>
      </c>
      <c r="D126" s="2">
        <v>45306</v>
      </c>
      <c r="E126" s="2">
        <v>45478</v>
      </c>
      <c r="F126" s="2">
        <v>45306</v>
      </c>
      <c r="G126" s="2">
        <v>45478</v>
      </c>
      <c r="H126" s="1" t="s">
        <v>20</v>
      </c>
      <c r="I126" s="1">
        <v>100</v>
      </c>
      <c r="J126" s="1">
        <v>83300405</v>
      </c>
      <c r="L126" s="1" t="s">
        <v>294</v>
      </c>
      <c r="M126" s="1" t="s">
        <v>294</v>
      </c>
      <c r="N126" s="1" t="s">
        <v>22</v>
      </c>
      <c r="O126" s="1">
        <v>1</v>
      </c>
      <c r="P126" s="1" t="b">
        <v>1</v>
      </c>
      <c r="Q126" s="1" t="s">
        <v>29</v>
      </c>
      <c r="R126" s="1">
        <f t="shared" si="7"/>
        <v>0</v>
      </c>
      <c r="T126" s="1">
        <f t="shared" si="4"/>
        <v>0</v>
      </c>
      <c r="U126" s="1">
        <f t="shared" si="5"/>
        <v>0</v>
      </c>
    </row>
    <row r="127" spans="1:21" x14ac:dyDescent="0.25">
      <c r="A127" s="1" t="s">
        <v>295</v>
      </c>
      <c r="B127" s="1" t="s">
        <v>285</v>
      </c>
      <c r="C127" s="1" t="s">
        <v>37</v>
      </c>
      <c r="D127" s="2">
        <v>45478</v>
      </c>
      <c r="E127" s="2">
        <v>45547</v>
      </c>
      <c r="F127" s="2">
        <v>45478</v>
      </c>
      <c r="G127" s="2">
        <v>45547</v>
      </c>
      <c r="H127" s="1" t="s">
        <v>20</v>
      </c>
      <c r="I127" s="1">
        <v>100</v>
      </c>
      <c r="J127" s="1">
        <v>33320162</v>
      </c>
      <c r="L127" s="1" t="s">
        <v>296</v>
      </c>
      <c r="M127" s="1" t="s">
        <v>296</v>
      </c>
      <c r="N127" s="1" t="s">
        <v>22</v>
      </c>
      <c r="O127" s="1">
        <v>1</v>
      </c>
      <c r="P127" s="1" t="b">
        <v>1</v>
      </c>
      <c r="R127" s="1">
        <f t="shared" si="7"/>
        <v>0</v>
      </c>
      <c r="T127" s="1">
        <f t="shared" si="4"/>
        <v>0</v>
      </c>
      <c r="U127" s="1">
        <f t="shared" si="5"/>
        <v>0</v>
      </c>
    </row>
    <row r="128" spans="1:21" x14ac:dyDescent="0.25">
      <c r="A128" s="1" t="s">
        <v>297</v>
      </c>
      <c r="B128" s="1" t="s">
        <v>285</v>
      </c>
      <c r="C128" s="1" t="s">
        <v>41</v>
      </c>
      <c r="D128" s="2">
        <v>45547</v>
      </c>
      <c r="E128" s="2">
        <v>45602</v>
      </c>
      <c r="F128" s="2">
        <v>45547</v>
      </c>
      <c r="G128" s="2">
        <v>45602</v>
      </c>
      <c r="H128" s="1" t="s">
        <v>20</v>
      </c>
      <c r="I128" s="1">
        <v>100</v>
      </c>
      <c r="J128" s="1">
        <v>26656129</v>
      </c>
      <c r="L128" s="1" t="s">
        <v>298</v>
      </c>
      <c r="M128" s="1" t="s">
        <v>298</v>
      </c>
      <c r="N128" s="1" t="s">
        <v>22</v>
      </c>
      <c r="O128" s="1">
        <v>1</v>
      </c>
      <c r="P128" s="1" t="b">
        <v>1</v>
      </c>
      <c r="R128" s="1">
        <f t="shared" si="7"/>
        <v>0</v>
      </c>
      <c r="T128" s="1">
        <f t="shared" si="4"/>
        <v>0</v>
      </c>
      <c r="U128" s="1">
        <f t="shared" si="5"/>
        <v>0</v>
      </c>
    </row>
    <row r="129" spans="1:21" x14ac:dyDescent="0.25">
      <c r="A129" s="1" t="s">
        <v>299</v>
      </c>
      <c r="B129" s="1" t="s">
        <v>285</v>
      </c>
      <c r="C129" s="1" t="s">
        <v>45</v>
      </c>
      <c r="D129" s="2">
        <v>45602</v>
      </c>
      <c r="E129" s="2">
        <v>45671</v>
      </c>
      <c r="F129" s="2">
        <v>45602</v>
      </c>
      <c r="G129" s="2">
        <v>45671</v>
      </c>
      <c r="H129" s="1" t="s">
        <v>20</v>
      </c>
      <c r="I129" s="1">
        <v>100</v>
      </c>
      <c r="J129" s="1">
        <v>33320162</v>
      </c>
      <c r="L129" s="1" t="s">
        <v>300</v>
      </c>
      <c r="M129" s="1" t="s">
        <v>300</v>
      </c>
      <c r="N129" s="1" t="s">
        <v>22</v>
      </c>
      <c r="O129" s="1">
        <v>1</v>
      </c>
      <c r="P129" s="1" t="b">
        <v>1</v>
      </c>
      <c r="R129" s="1">
        <f t="shared" si="7"/>
        <v>0</v>
      </c>
      <c r="T129" s="1">
        <f t="shared" si="4"/>
        <v>0</v>
      </c>
      <c r="U129" s="1">
        <f t="shared" si="5"/>
        <v>0</v>
      </c>
    </row>
    <row r="130" spans="1:21" x14ac:dyDescent="0.25">
      <c r="A130" s="1" t="s">
        <v>301</v>
      </c>
      <c r="B130" s="1" t="s">
        <v>285</v>
      </c>
      <c r="C130" s="1" t="s">
        <v>48</v>
      </c>
      <c r="D130" s="2">
        <v>45671</v>
      </c>
      <c r="E130" s="2">
        <v>45691</v>
      </c>
      <c r="F130" s="2">
        <v>45671</v>
      </c>
      <c r="G130" s="2">
        <v>45691</v>
      </c>
      <c r="H130" s="1" t="s">
        <v>20</v>
      </c>
      <c r="I130" s="1">
        <v>100</v>
      </c>
      <c r="J130" s="1">
        <v>9996048</v>
      </c>
      <c r="L130" s="1" t="s">
        <v>302</v>
      </c>
      <c r="M130" s="1" t="s">
        <v>302</v>
      </c>
      <c r="N130" s="1" t="s">
        <v>22</v>
      </c>
      <c r="O130" s="1">
        <v>1</v>
      </c>
      <c r="P130" s="1" t="b">
        <v>1</v>
      </c>
      <c r="R130" s="1">
        <f t="shared" si="7"/>
        <v>0</v>
      </c>
      <c r="T130" s="1">
        <f t="shared" si="4"/>
        <v>0</v>
      </c>
      <c r="U130" s="1">
        <f t="shared" si="5"/>
        <v>0</v>
      </c>
    </row>
    <row r="131" spans="1:21" x14ac:dyDescent="0.25">
      <c r="A131" s="1" t="s">
        <v>303</v>
      </c>
      <c r="B131" s="1" t="s">
        <v>285</v>
      </c>
      <c r="C131" s="1" t="s">
        <v>51</v>
      </c>
      <c r="D131" s="2">
        <v>45691</v>
      </c>
      <c r="E131" s="2">
        <v>45704</v>
      </c>
      <c r="F131" s="2">
        <v>45691</v>
      </c>
      <c r="G131" s="2">
        <v>45704</v>
      </c>
      <c r="H131" s="1" t="s">
        <v>20</v>
      </c>
      <c r="I131" s="1">
        <v>100</v>
      </c>
      <c r="J131" s="1">
        <v>6664032</v>
      </c>
      <c r="L131" s="1" t="s">
        <v>304</v>
      </c>
      <c r="M131" s="1" t="s">
        <v>304</v>
      </c>
      <c r="N131" s="1" t="s">
        <v>22</v>
      </c>
      <c r="O131" s="1">
        <v>1</v>
      </c>
      <c r="P131" s="1" t="b">
        <v>1</v>
      </c>
      <c r="R131" s="1">
        <f t="shared" si="7"/>
        <v>0</v>
      </c>
      <c r="T131" s="1">
        <f t="shared" ref="T131:T194" si="8">IF(S131&gt;0,1,0)</f>
        <v>0</v>
      </c>
      <c r="U131" s="1">
        <f t="shared" ref="U131:U194" si="9">IF(S131&gt;0,S131,0)</f>
        <v>0</v>
      </c>
    </row>
    <row r="132" spans="1:21" x14ac:dyDescent="0.25">
      <c r="A132" s="1" t="s">
        <v>305</v>
      </c>
      <c r="B132" s="1" t="s">
        <v>306</v>
      </c>
      <c r="C132" s="1" t="s">
        <v>19</v>
      </c>
      <c r="D132" s="2">
        <v>44225</v>
      </c>
      <c r="E132" s="2">
        <v>44273</v>
      </c>
      <c r="F132" s="2">
        <v>44225</v>
      </c>
      <c r="G132" s="2">
        <v>44273</v>
      </c>
      <c r="H132" s="1" t="s">
        <v>20</v>
      </c>
      <c r="I132" s="1">
        <v>100</v>
      </c>
      <c r="J132" s="1">
        <v>581791</v>
      </c>
      <c r="L132" s="1" t="s">
        <v>307</v>
      </c>
      <c r="M132" s="1" t="s">
        <v>307</v>
      </c>
      <c r="N132" s="1" t="s">
        <v>22</v>
      </c>
      <c r="O132" s="1">
        <v>1</v>
      </c>
      <c r="P132" s="1" t="b">
        <v>1</v>
      </c>
      <c r="R132" s="1">
        <f t="shared" si="7"/>
        <v>0</v>
      </c>
      <c r="T132" s="1">
        <f t="shared" si="8"/>
        <v>0</v>
      </c>
      <c r="U132" s="1">
        <f t="shared" si="9"/>
        <v>0</v>
      </c>
    </row>
    <row r="133" spans="1:21" x14ac:dyDescent="0.25">
      <c r="A133" s="1" t="s">
        <v>308</v>
      </c>
      <c r="B133" s="1" t="s">
        <v>306</v>
      </c>
      <c r="C133" s="1" t="s">
        <v>24</v>
      </c>
      <c r="D133" s="2">
        <v>44273</v>
      </c>
      <c r="E133" s="2">
        <v>44369</v>
      </c>
      <c r="F133" s="2">
        <v>44273</v>
      </c>
      <c r="G133" s="2">
        <v>44369</v>
      </c>
      <c r="H133" s="1" t="s">
        <v>20</v>
      </c>
      <c r="I133" s="1">
        <v>100</v>
      </c>
      <c r="J133" s="1">
        <v>1163583</v>
      </c>
      <c r="L133" s="1" t="s">
        <v>309</v>
      </c>
      <c r="M133" s="1" t="s">
        <v>309</v>
      </c>
      <c r="N133" s="1" t="s">
        <v>22</v>
      </c>
      <c r="O133" s="1">
        <v>1</v>
      </c>
      <c r="P133" s="1" t="b">
        <v>1</v>
      </c>
      <c r="R133" s="1">
        <f t="shared" si="7"/>
        <v>0</v>
      </c>
      <c r="T133" s="1">
        <f t="shared" si="8"/>
        <v>0</v>
      </c>
      <c r="U133" s="1">
        <f t="shared" si="9"/>
        <v>0</v>
      </c>
    </row>
    <row r="134" spans="1:21" x14ac:dyDescent="0.25">
      <c r="A134" s="1" t="s">
        <v>310</v>
      </c>
      <c r="B134" s="1" t="s">
        <v>306</v>
      </c>
      <c r="C134" s="1" t="s">
        <v>27</v>
      </c>
      <c r="D134" s="2">
        <v>44369</v>
      </c>
      <c r="E134" s="2">
        <v>44484</v>
      </c>
      <c r="F134" s="2">
        <v>44369</v>
      </c>
      <c r="G134" s="2">
        <v>44484</v>
      </c>
      <c r="H134" s="1" t="s">
        <v>20</v>
      </c>
      <c r="I134" s="1">
        <v>100</v>
      </c>
      <c r="J134" s="1">
        <v>1396300</v>
      </c>
      <c r="L134" s="1" t="s">
        <v>311</v>
      </c>
      <c r="M134" s="1" t="s">
        <v>311</v>
      </c>
      <c r="N134" s="1" t="s">
        <v>22</v>
      </c>
      <c r="O134" s="1">
        <v>1</v>
      </c>
      <c r="P134" s="1" t="b">
        <v>1</v>
      </c>
      <c r="Q134" s="1" t="s">
        <v>29</v>
      </c>
      <c r="R134" s="1">
        <f t="shared" si="7"/>
        <v>0</v>
      </c>
      <c r="T134" s="1">
        <f t="shared" si="8"/>
        <v>0</v>
      </c>
      <c r="U134" s="1">
        <f t="shared" si="9"/>
        <v>0</v>
      </c>
    </row>
    <row r="135" spans="1:21" x14ac:dyDescent="0.25">
      <c r="A135" s="1" t="s">
        <v>312</v>
      </c>
      <c r="B135" s="1" t="s">
        <v>306</v>
      </c>
      <c r="C135" s="1" t="s">
        <v>31</v>
      </c>
      <c r="D135" s="2">
        <v>44484</v>
      </c>
      <c r="E135" s="2">
        <v>44628</v>
      </c>
      <c r="F135" s="2">
        <v>44484</v>
      </c>
      <c r="G135" s="2">
        <v>44628</v>
      </c>
      <c r="H135" s="1" t="s">
        <v>20</v>
      </c>
      <c r="I135" s="1">
        <v>100</v>
      </c>
      <c r="J135" s="1">
        <v>1745375</v>
      </c>
      <c r="L135" s="1" t="s">
        <v>313</v>
      </c>
      <c r="M135" s="1" t="s">
        <v>313</v>
      </c>
      <c r="N135" s="1" t="s">
        <v>22</v>
      </c>
      <c r="O135" s="1">
        <v>1</v>
      </c>
      <c r="P135" s="1" t="b">
        <v>1</v>
      </c>
      <c r="R135" s="1">
        <f t="shared" si="7"/>
        <v>0</v>
      </c>
      <c r="T135" s="1">
        <f t="shared" si="8"/>
        <v>0</v>
      </c>
      <c r="U135" s="1">
        <f t="shared" si="9"/>
        <v>0</v>
      </c>
    </row>
    <row r="136" spans="1:21" x14ac:dyDescent="0.25">
      <c r="A136" s="1" t="s">
        <v>314</v>
      </c>
      <c r="B136" s="1" t="s">
        <v>306</v>
      </c>
      <c r="C136" s="1" t="s">
        <v>34</v>
      </c>
      <c r="D136" s="2">
        <v>44628</v>
      </c>
      <c r="E136" s="2">
        <v>44868</v>
      </c>
      <c r="F136" s="2">
        <v>44628</v>
      </c>
      <c r="G136" s="2">
        <v>44868</v>
      </c>
      <c r="H136" s="1" t="s">
        <v>20</v>
      </c>
      <c r="I136" s="1">
        <v>100</v>
      </c>
      <c r="J136" s="1">
        <v>2908959</v>
      </c>
      <c r="L136" s="1" t="s">
        <v>315</v>
      </c>
      <c r="M136" s="1" t="s">
        <v>315</v>
      </c>
      <c r="N136" s="1" t="s">
        <v>22</v>
      </c>
      <c r="O136" s="1">
        <v>1</v>
      </c>
      <c r="P136" s="1" t="b">
        <v>1</v>
      </c>
      <c r="Q136" s="1" t="s">
        <v>29</v>
      </c>
      <c r="R136" s="1">
        <f t="shared" si="7"/>
        <v>0</v>
      </c>
      <c r="T136" s="1">
        <f t="shared" si="8"/>
        <v>0</v>
      </c>
      <c r="U136" s="1">
        <f t="shared" si="9"/>
        <v>0</v>
      </c>
    </row>
    <row r="137" spans="1:21" x14ac:dyDescent="0.25">
      <c r="A137" s="1" t="s">
        <v>316</v>
      </c>
      <c r="B137" s="1" t="s">
        <v>306</v>
      </c>
      <c r="C137" s="1" t="s">
        <v>37</v>
      </c>
      <c r="D137" s="2">
        <v>44868</v>
      </c>
      <c r="E137" s="2">
        <v>44964</v>
      </c>
      <c r="F137" s="2">
        <v>44868</v>
      </c>
      <c r="G137" s="2">
        <v>44964</v>
      </c>
      <c r="H137" s="1" t="s">
        <v>20</v>
      </c>
      <c r="I137" s="1">
        <v>100</v>
      </c>
      <c r="J137" s="1">
        <v>1163583</v>
      </c>
      <c r="L137" s="1" t="s">
        <v>317</v>
      </c>
      <c r="M137" s="1" t="s">
        <v>317</v>
      </c>
      <c r="N137" s="1" t="s">
        <v>22</v>
      </c>
      <c r="O137" s="1">
        <v>1</v>
      </c>
      <c r="P137" s="1" t="b">
        <v>1</v>
      </c>
      <c r="R137" s="1">
        <f t="shared" si="7"/>
        <v>0</v>
      </c>
      <c r="T137" s="1">
        <f t="shared" si="8"/>
        <v>0</v>
      </c>
      <c r="U137" s="1">
        <f t="shared" si="9"/>
        <v>0</v>
      </c>
    </row>
    <row r="138" spans="1:21" x14ac:dyDescent="0.25">
      <c r="A138" s="1" t="s">
        <v>318</v>
      </c>
      <c r="B138" s="1" t="s">
        <v>306</v>
      </c>
      <c r="C138" s="1" t="s">
        <v>41</v>
      </c>
      <c r="D138" s="2">
        <v>44964</v>
      </c>
      <c r="E138" s="2">
        <v>45040</v>
      </c>
      <c r="F138" s="2">
        <v>44964</v>
      </c>
      <c r="G138" s="2">
        <v>45040</v>
      </c>
      <c r="H138" s="1" t="s">
        <v>20</v>
      </c>
      <c r="I138" s="1">
        <v>100</v>
      </c>
      <c r="J138" s="1">
        <v>930866</v>
      </c>
      <c r="L138" s="1" t="s">
        <v>319</v>
      </c>
      <c r="M138" s="1" t="s">
        <v>319</v>
      </c>
      <c r="N138" s="1" t="s">
        <v>22</v>
      </c>
      <c r="O138" s="1">
        <v>1</v>
      </c>
      <c r="P138" s="1" t="b">
        <v>1</v>
      </c>
      <c r="R138" s="1">
        <f t="shared" si="7"/>
        <v>0</v>
      </c>
      <c r="T138" s="1">
        <f t="shared" si="8"/>
        <v>0</v>
      </c>
      <c r="U138" s="1">
        <f t="shared" si="9"/>
        <v>0</v>
      </c>
    </row>
    <row r="139" spans="1:21" x14ac:dyDescent="0.25">
      <c r="A139" s="1" t="s">
        <v>320</v>
      </c>
      <c r="B139" s="1" t="s">
        <v>306</v>
      </c>
      <c r="C139" s="1" t="s">
        <v>45</v>
      </c>
      <c r="D139" s="2">
        <v>45040</v>
      </c>
      <c r="E139" s="2">
        <v>45136</v>
      </c>
      <c r="F139" s="2">
        <v>45040</v>
      </c>
      <c r="G139" s="2">
        <v>45136</v>
      </c>
      <c r="H139" s="1" t="s">
        <v>20</v>
      </c>
      <c r="I139" s="1">
        <v>100</v>
      </c>
      <c r="J139" s="1">
        <v>1163583</v>
      </c>
      <c r="L139" s="1" t="s">
        <v>321</v>
      </c>
      <c r="M139" s="1" t="s">
        <v>321</v>
      </c>
      <c r="N139" s="1" t="s">
        <v>22</v>
      </c>
      <c r="O139" s="1">
        <v>1</v>
      </c>
      <c r="P139" s="1" t="b">
        <v>1</v>
      </c>
      <c r="R139" s="1">
        <f t="shared" si="7"/>
        <v>0</v>
      </c>
      <c r="T139" s="1">
        <f t="shared" si="8"/>
        <v>0</v>
      </c>
      <c r="U139" s="1">
        <f t="shared" si="9"/>
        <v>0</v>
      </c>
    </row>
    <row r="140" spans="1:21" x14ac:dyDescent="0.25">
      <c r="A140" s="1" t="s">
        <v>322</v>
      </c>
      <c r="B140" s="1" t="s">
        <v>306</v>
      </c>
      <c r="C140" s="1" t="s">
        <v>48</v>
      </c>
      <c r="D140" s="2">
        <v>45136</v>
      </c>
      <c r="E140" s="2">
        <v>45164</v>
      </c>
      <c r="F140" s="2">
        <v>45136</v>
      </c>
      <c r="G140" s="2">
        <v>45164</v>
      </c>
      <c r="H140" s="1" t="s">
        <v>20</v>
      </c>
      <c r="I140" s="1">
        <v>100</v>
      </c>
      <c r="J140" s="1">
        <v>349075</v>
      </c>
      <c r="L140" s="1" t="s">
        <v>323</v>
      </c>
      <c r="M140" s="1" t="s">
        <v>323</v>
      </c>
      <c r="N140" s="1" t="s">
        <v>22</v>
      </c>
      <c r="O140" s="1">
        <v>1</v>
      </c>
      <c r="P140" s="1" t="b">
        <v>1</v>
      </c>
      <c r="R140" s="1">
        <f t="shared" si="7"/>
        <v>0</v>
      </c>
      <c r="T140" s="1">
        <f t="shared" si="8"/>
        <v>0</v>
      </c>
      <c r="U140" s="1">
        <f t="shared" si="9"/>
        <v>0</v>
      </c>
    </row>
    <row r="141" spans="1:21" x14ac:dyDescent="0.25">
      <c r="A141" s="1" t="s">
        <v>324</v>
      </c>
      <c r="B141" s="1" t="s">
        <v>306</v>
      </c>
      <c r="C141" s="1" t="s">
        <v>51</v>
      </c>
      <c r="D141" s="2">
        <v>45164</v>
      </c>
      <c r="E141" s="2">
        <v>45183</v>
      </c>
      <c r="F141" s="2">
        <v>45164</v>
      </c>
      <c r="G141" s="2">
        <v>45183</v>
      </c>
      <c r="H141" s="1" t="s">
        <v>20</v>
      </c>
      <c r="I141" s="1">
        <v>100</v>
      </c>
      <c r="J141" s="1">
        <v>232716</v>
      </c>
      <c r="L141" s="1" t="s">
        <v>325</v>
      </c>
      <c r="M141" s="1" t="s">
        <v>325</v>
      </c>
      <c r="N141" s="1" t="s">
        <v>22</v>
      </c>
      <c r="O141" s="1">
        <v>1</v>
      </c>
      <c r="P141" s="1" t="b">
        <v>1</v>
      </c>
      <c r="R141" s="1">
        <f t="shared" si="7"/>
        <v>0</v>
      </c>
      <c r="T141" s="1">
        <f t="shared" si="8"/>
        <v>0</v>
      </c>
      <c r="U141" s="1">
        <f t="shared" si="9"/>
        <v>0</v>
      </c>
    </row>
    <row r="142" spans="1:21" x14ac:dyDescent="0.25">
      <c r="A142" s="1" t="s">
        <v>326</v>
      </c>
      <c r="B142" s="1" t="s">
        <v>327</v>
      </c>
      <c r="C142" s="1" t="s">
        <v>19</v>
      </c>
      <c r="D142" s="2">
        <v>43881</v>
      </c>
      <c r="E142" s="2">
        <v>43939</v>
      </c>
      <c r="F142" s="2">
        <v>43881</v>
      </c>
      <c r="G142" s="2">
        <v>43939</v>
      </c>
      <c r="H142" s="1" t="s">
        <v>20</v>
      </c>
      <c r="I142" s="1">
        <v>100</v>
      </c>
      <c r="J142" s="1">
        <v>18012730</v>
      </c>
      <c r="L142" s="1" t="s">
        <v>328</v>
      </c>
      <c r="M142" s="1" t="s">
        <v>328</v>
      </c>
      <c r="N142" s="1" t="s">
        <v>22</v>
      </c>
      <c r="O142" s="1">
        <v>1</v>
      </c>
      <c r="P142" s="1" t="b">
        <v>1</v>
      </c>
      <c r="R142" s="1">
        <f t="shared" si="7"/>
        <v>0</v>
      </c>
      <c r="T142" s="1">
        <f t="shared" si="8"/>
        <v>0</v>
      </c>
      <c r="U142" s="1">
        <f t="shared" si="9"/>
        <v>0</v>
      </c>
    </row>
    <row r="143" spans="1:21" x14ac:dyDescent="0.25">
      <c r="A143" s="1" t="s">
        <v>329</v>
      </c>
      <c r="B143" s="1" t="s">
        <v>327</v>
      </c>
      <c r="C143" s="1" t="s">
        <v>24</v>
      </c>
      <c r="D143" s="2">
        <v>43939</v>
      </c>
      <c r="E143" s="2">
        <v>44056</v>
      </c>
      <c r="F143" s="2">
        <v>43939</v>
      </c>
      <c r="G143" s="2">
        <v>44056</v>
      </c>
      <c r="H143" s="1" t="s">
        <v>20</v>
      </c>
      <c r="I143" s="1">
        <v>100</v>
      </c>
      <c r="J143" s="1">
        <v>36025460</v>
      </c>
      <c r="L143" s="1" t="s">
        <v>330</v>
      </c>
      <c r="M143" s="1" t="s">
        <v>330</v>
      </c>
      <c r="N143" s="1" t="s">
        <v>22</v>
      </c>
      <c r="O143" s="1">
        <v>1</v>
      </c>
      <c r="P143" s="1" t="b">
        <v>1</v>
      </c>
      <c r="R143" s="1">
        <f t="shared" si="7"/>
        <v>0</v>
      </c>
      <c r="T143" s="1">
        <f t="shared" si="8"/>
        <v>0</v>
      </c>
      <c r="U143" s="1">
        <f t="shared" si="9"/>
        <v>0</v>
      </c>
    </row>
    <row r="144" spans="1:21" x14ac:dyDescent="0.25">
      <c r="A144" s="1" t="s">
        <v>331</v>
      </c>
      <c r="B144" s="1" t="s">
        <v>327</v>
      </c>
      <c r="C144" s="1" t="s">
        <v>27</v>
      </c>
      <c r="D144" s="2">
        <v>44056</v>
      </c>
      <c r="E144" s="2">
        <v>44196</v>
      </c>
      <c r="F144" s="2">
        <v>44056</v>
      </c>
      <c r="G144" s="2">
        <v>44196</v>
      </c>
      <c r="H144" s="1" t="s">
        <v>20</v>
      </c>
      <c r="I144" s="1">
        <v>100</v>
      </c>
      <c r="J144" s="1">
        <v>43230552</v>
      </c>
      <c r="L144" s="1" t="s">
        <v>332</v>
      </c>
      <c r="M144" s="1" t="s">
        <v>332</v>
      </c>
      <c r="N144" s="1" t="s">
        <v>22</v>
      </c>
      <c r="O144" s="1">
        <v>1</v>
      </c>
      <c r="P144" s="1" t="b">
        <v>1</v>
      </c>
      <c r="Q144" s="1" t="s">
        <v>29</v>
      </c>
      <c r="R144" s="1">
        <f t="shared" si="7"/>
        <v>0</v>
      </c>
      <c r="T144" s="1">
        <f t="shared" si="8"/>
        <v>0</v>
      </c>
      <c r="U144" s="1">
        <f t="shared" si="9"/>
        <v>0</v>
      </c>
    </row>
    <row r="145" spans="1:21" x14ac:dyDescent="0.25">
      <c r="A145" s="1" t="s">
        <v>333</v>
      </c>
      <c r="B145" s="1" t="s">
        <v>327</v>
      </c>
      <c r="C145" s="1" t="s">
        <v>31</v>
      </c>
      <c r="D145" s="2">
        <v>44196</v>
      </c>
      <c r="E145" s="2">
        <v>44371</v>
      </c>
      <c r="F145" s="2">
        <v>44196</v>
      </c>
      <c r="G145" s="2">
        <v>44371</v>
      </c>
      <c r="H145" s="1" t="s">
        <v>20</v>
      </c>
      <c r="I145" s="1">
        <v>100</v>
      </c>
      <c r="J145" s="1">
        <v>54038190</v>
      </c>
      <c r="L145" s="1" t="s">
        <v>334</v>
      </c>
      <c r="M145" s="1" t="s">
        <v>334</v>
      </c>
      <c r="N145" s="1" t="s">
        <v>22</v>
      </c>
      <c r="O145" s="1">
        <v>1</v>
      </c>
      <c r="P145" s="1" t="b">
        <v>1</v>
      </c>
      <c r="R145" s="1">
        <f t="shared" si="7"/>
        <v>0</v>
      </c>
      <c r="T145" s="1">
        <f t="shared" si="8"/>
        <v>0</v>
      </c>
      <c r="U145" s="1">
        <f t="shared" si="9"/>
        <v>0</v>
      </c>
    </row>
    <row r="146" spans="1:21" x14ac:dyDescent="0.25">
      <c r="A146" s="1" t="s">
        <v>335</v>
      </c>
      <c r="B146" s="1" t="s">
        <v>327</v>
      </c>
      <c r="C146" s="1" t="s">
        <v>34</v>
      </c>
      <c r="D146" s="2">
        <v>44371</v>
      </c>
      <c r="E146" s="2">
        <v>44663</v>
      </c>
      <c r="F146" s="2">
        <v>44371</v>
      </c>
      <c r="G146" s="2">
        <v>44663</v>
      </c>
      <c r="H146" s="1" t="s">
        <v>20</v>
      </c>
      <c r="I146" s="1">
        <v>100</v>
      </c>
      <c r="J146" s="1">
        <v>90063650</v>
      </c>
      <c r="L146" s="1" t="s">
        <v>336</v>
      </c>
      <c r="M146" s="1" t="s">
        <v>336</v>
      </c>
      <c r="N146" s="1" t="s">
        <v>22</v>
      </c>
      <c r="O146" s="1">
        <v>1</v>
      </c>
      <c r="P146" s="1" t="b">
        <v>1</v>
      </c>
      <c r="Q146" s="1" t="s">
        <v>29</v>
      </c>
      <c r="R146" s="1">
        <f t="shared" si="7"/>
        <v>0</v>
      </c>
      <c r="T146" s="1">
        <f t="shared" si="8"/>
        <v>0</v>
      </c>
      <c r="U146" s="1">
        <f t="shared" si="9"/>
        <v>0</v>
      </c>
    </row>
    <row r="147" spans="1:21" x14ac:dyDescent="0.25">
      <c r="A147" s="1" t="s">
        <v>337</v>
      </c>
      <c r="B147" s="1" t="s">
        <v>327</v>
      </c>
      <c r="C147" s="1" t="s">
        <v>37</v>
      </c>
      <c r="D147" s="2">
        <v>44663</v>
      </c>
      <c r="E147" s="2">
        <v>44780</v>
      </c>
      <c r="F147" s="2">
        <v>44663</v>
      </c>
      <c r="G147" s="2">
        <v>44780</v>
      </c>
      <c r="H147" s="1" t="s">
        <v>20</v>
      </c>
      <c r="I147" s="1">
        <v>100</v>
      </c>
      <c r="J147" s="1">
        <v>36025460</v>
      </c>
      <c r="L147" s="1" t="s">
        <v>338</v>
      </c>
      <c r="M147" s="1" t="s">
        <v>338</v>
      </c>
      <c r="N147" s="1" t="s">
        <v>22</v>
      </c>
      <c r="O147" s="1">
        <v>1</v>
      </c>
      <c r="P147" s="1" t="b">
        <v>1</v>
      </c>
      <c r="R147" s="1">
        <f t="shared" si="7"/>
        <v>0</v>
      </c>
      <c r="T147" s="1">
        <f t="shared" si="8"/>
        <v>0</v>
      </c>
      <c r="U147" s="1">
        <f t="shared" si="9"/>
        <v>0</v>
      </c>
    </row>
    <row r="148" spans="1:21" x14ac:dyDescent="0.25">
      <c r="A148" s="1" t="s">
        <v>339</v>
      </c>
      <c r="B148" s="1" t="s">
        <v>327</v>
      </c>
      <c r="C148" s="1" t="s">
        <v>41</v>
      </c>
      <c r="D148" s="2">
        <v>44780</v>
      </c>
      <c r="E148" s="2">
        <v>44873</v>
      </c>
      <c r="F148" s="2">
        <v>44780</v>
      </c>
      <c r="G148" s="2">
        <v>44873</v>
      </c>
      <c r="H148" s="1" t="s">
        <v>20</v>
      </c>
      <c r="I148" s="1">
        <v>100</v>
      </c>
      <c r="J148" s="1">
        <v>28820368</v>
      </c>
      <c r="L148" s="1" t="s">
        <v>340</v>
      </c>
      <c r="M148" s="1" t="s">
        <v>340</v>
      </c>
      <c r="N148" s="1" t="s">
        <v>22</v>
      </c>
      <c r="O148" s="1">
        <v>1</v>
      </c>
      <c r="P148" s="1" t="b">
        <v>1</v>
      </c>
      <c r="R148" s="1">
        <f t="shared" si="7"/>
        <v>0</v>
      </c>
      <c r="T148" s="1">
        <f t="shared" si="8"/>
        <v>0</v>
      </c>
      <c r="U148" s="1">
        <f t="shared" si="9"/>
        <v>0</v>
      </c>
    </row>
    <row r="149" spans="1:21" x14ac:dyDescent="0.25">
      <c r="A149" s="1" t="s">
        <v>341</v>
      </c>
      <c r="B149" s="1" t="s">
        <v>327</v>
      </c>
      <c r="C149" s="1" t="s">
        <v>45</v>
      </c>
      <c r="D149" s="2">
        <v>44873</v>
      </c>
      <c r="E149" s="2">
        <v>44990</v>
      </c>
      <c r="F149" s="2">
        <v>44873</v>
      </c>
      <c r="G149" s="2">
        <v>44990</v>
      </c>
      <c r="H149" s="1" t="s">
        <v>20</v>
      </c>
      <c r="I149" s="1">
        <v>100</v>
      </c>
      <c r="J149" s="1">
        <v>36025460</v>
      </c>
      <c r="L149" s="1" t="s">
        <v>342</v>
      </c>
      <c r="M149" s="1" t="s">
        <v>342</v>
      </c>
      <c r="N149" s="1" t="s">
        <v>22</v>
      </c>
      <c r="O149" s="1">
        <v>1</v>
      </c>
      <c r="P149" s="1" t="b">
        <v>1</v>
      </c>
      <c r="R149" s="1">
        <f t="shared" si="7"/>
        <v>0</v>
      </c>
      <c r="T149" s="1">
        <f t="shared" si="8"/>
        <v>0</v>
      </c>
      <c r="U149" s="1">
        <f t="shared" si="9"/>
        <v>0</v>
      </c>
    </row>
    <row r="150" spans="1:21" x14ac:dyDescent="0.25">
      <c r="A150" s="1" t="s">
        <v>343</v>
      </c>
      <c r="B150" s="1" t="s">
        <v>327</v>
      </c>
      <c r="C150" s="1" t="s">
        <v>48</v>
      </c>
      <c r="D150" s="2">
        <v>44990</v>
      </c>
      <c r="E150" s="2">
        <v>45025</v>
      </c>
      <c r="F150" s="2">
        <v>44990</v>
      </c>
      <c r="G150" s="2">
        <v>45025</v>
      </c>
      <c r="H150" s="1" t="s">
        <v>20</v>
      </c>
      <c r="I150" s="1">
        <v>100</v>
      </c>
      <c r="J150" s="1">
        <v>10807638</v>
      </c>
      <c r="L150" s="1" t="s">
        <v>344</v>
      </c>
      <c r="M150" s="1" t="s">
        <v>344</v>
      </c>
      <c r="N150" s="1" t="s">
        <v>22</v>
      </c>
      <c r="O150" s="1">
        <v>1</v>
      </c>
      <c r="P150" s="1" t="b">
        <v>1</v>
      </c>
      <c r="R150" s="1">
        <f t="shared" si="7"/>
        <v>0</v>
      </c>
      <c r="T150" s="1">
        <f t="shared" si="8"/>
        <v>0</v>
      </c>
      <c r="U150" s="1">
        <f t="shared" si="9"/>
        <v>0</v>
      </c>
    </row>
    <row r="151" spans="1:21" x14ac:dyDescent="0.25">
      <c r="A151" s="1" t="s">
        <v>345</v>
      </c>
      <c r="B151" s="1" t="s">
        <v>327</v>
      </c>
      <c r="C151" s="1" t="s">
        <v>51</v>
      </c>
      <c r="D151" s="2">
        <v>45025</v>
      </c>
      <c r="E151" s="2">
        <v>45048</v>
      </c>
      <c r="F151" s="2">
        <v>45025</v>
      </c>
      <c r="G151" s="2">
        <v>45048</v>
      </c>
      <c r="H151" s="1" t="s">
        <v>20</v>
      </c>
      <c r="I151" s="1">
        <v>100</v>
      </c>
      <c r="J151" s="1">
        <v>7205092</v>
      </c>
      <c r="L151" s="1" t="s">
        <v>346</v>
      </c>
      <c r="M151" s="1" t="s">
        <v>346</v>
      </c>
      <c r="N151" s="1" t="s">
        <v>22</v>
      </c>
      <c r="O151" s="1">
        <v>1</v>
      </c>
      <c r="P151" s="1" t="b">
        <v>1</v>
      </c>
      <c r="R151" s="1">
        <f t="shared" si="7"/>
        <v>0</v>
      </c>
      <c r="T151" s="1">
        <f t="shared" si="8"/>
        <v>0</v>
      </c>
      <c r="U151" s="1">
        <f t="shared" si="9"/>
        <v>0</v>
      </c>
    </row>
    <row r="152" spans="1:21" x14ac:dyDescent="0.25">
      <c r="A152" s="1" t="s">
        <v>347</v>
      </c>
      <c r="B152" s="1" t="s">
        <v>348</v>
      </c>
      <c r="C152" s="1" t="s">
        <v>19</v>
      </c>
      <c r="D152" s="2">
        <v>44168</v>
      </c>
      <c r="E152" s="2">
        <v>44231</v>
      </c>
      <c r="F152" s="2">
        <v>44168</v>
      </c>
      <c r="G152" s="2">
        <v>44231</v>
      </c>
      <c r="H152" s="1" t="s">
        <v>20</v>
      </c>
      <c r="I152" s="1">
        <v>100</v>
      </c>
      <c r="J152" s="1">
        <v>23117242</v>
      </c>
      <c r="L152" s="1" t="s">
        <v>349</v>
      </c>
      <c r="M152" s="1" t="s">
        <v>349</v>
      </c>
      <c r="N152" s="1" t="s">
        <v>22</v>
      </c>
      <c r="O152" s="1">
        <v>1</v>
      </c>
      <c r="P152" s="1" t="b">
        <v>1</v>
      </c>
      <c r="R152" s="1">
        <f t="shared" si="7"/>
        <v>0</v>
      </c>
      <c r="T152" s="1">
        <f t="shared" si="8"/>
        <v>0</v>
      </c>
      <c r="U152" s="1">
        <f t="shared" si="9"/>
        <v>0</v>
      </c>
    </row>
    <row r="153" spans="1:21" x14ac:dyDescent="0.25">
      <c r="A153" s="1" t="s">
        <v>350</v>
      </c>
      <c r="B153" s="1" t="s">
        <v>348</v>
      </c>
      <c r="C153" s="1" t="s">
        <v>24</v>
      </c>
      <c r="D153" s="2">
        <v>44231</v>
      </c>
      <c r="E153" s="2">
        <v>44357</v>
      </c>
      <c r="F153" s="2">
        <v>44231</v>
      </c>
      <c r="G153" s="2">
        <v>44357</v>
      </c>
      <c r="H153" s="1" t="s">
        <v>20</v>
      </c>
      <c r="I153" s="1">
        <v>100</v>
      </c>
      <c r="J153" s="1">
        <v>46234484</v>
      </c>
      <c r="L153" s="1" t="s">
        <v>351</v>
      </c>
      <c r="M153" s="1" t="s">
        <v>351</v>
      </c>
      <c r="N153" s="1" t="s">
        <v>22</v>
      </c>
      <c r="O153" s="1">
        <v>1</v>
      </c>
      <c r="P153" s="1" t="b">
        <v>1</v>
      </c>
      <c r="R153" s="1">
        <f t="shared" si="7"/>
        <v>0</v>
      </c>
      <c r="T153" s="1">
        <f t="shared" si="8"/>
        <v>0</v>
      </c>
      <c r="U153" s="1">
        <f t="shared" si="9"/>
        <v>0</v>
      </c>
    </row>
    <row r="154" spans="1:21" x14ac:dyDescent="0.25">
      <c r="A154" s="1" t="s">
        <v>352</v>
      </c>
      <c r="B154" s="1" t="s">
        <v>348</v>
      </c>
      <c r="C154" s="1" t="s">
        <v>27</v>
      </c>
      <c r="D154" s="2">
        <v>44357</v>
      </c>
      <c r="E154" s="2">
        <v>44508</v>
      </c>
      <c r="F154" s="2">
        <v>44357</v>
      </c>
      <c r="G154" s="2">
        <v>44508</v>
      </c>
      <c r="H154" s="1" t="s">
        <v>20</v>
      </c>
      <c r="I154" s="1">
        <v>100</v>
      </c>
      <c r="J154" s="1">
        <v>55481380</v>
      </c>
      <c r="L154" s="1" t="s">
        <v>353</v>
      </c>
      <c r="M154" s="1" t="s">
        <v>353</v>
      </c>
      <c r="N154" s="1" t="s">
        <v>22</v>
      </c>
      <c r="O154" s="1">
        <v>1</v>
      </c>
      <c r="P154" s="1" t="b">
        <v>1</v>
      </c>
      <c r="Q154" s="1" t="s">
        <v>29</v>
      </c>
      <c r="R154" s="1">
        <f t="shared" ref="R154:R187" si="10">G154-E154</f>
        <v>0</v>
      </c>
      <c r="T154" s="1">
        <f t="shared" si="8"/>
        <v>0</v>
      </c>
      <c r="U154" s="1">
        <f t="shared" si="9"/>
        <v>0</v>
      </c>
    </row>
    <row r="155" spans="1:21" x14ac:dyDescent="0.25">
      <c r="A155" s="1" t="s">
        <v>354</v>
      </c>
      <c r="B155" s="1" t="s">
        <v>348</v>
      </c>
      <c r="C155" s="1" t="s">
        <v>31</v>
      </c>
      <c r="D155" s="2">
        <v>44508</v>
      </c>
      <c r="E155" s="2">
        <v>44697</v>
      </c>
      <c r="F155" s="2">
        <v>44508</v>
      </c>
      <c r="G155" s="2">
        <v>44697</v>
      </c>
      <c r="H155" s="1" t="s">
        <v>20</v>
      </c>
      <c r="I155" s="1">
        <v>100</v>
      </c>
      <c r="J155" s="1">
        <v>69351726</v>
      </c>
      <c r="L155" s="1" t="s">
        <v>355</v>
      </c>
      <c r="M155" s="1" t="s">
        <v>355</v>
      </c>
      <c r="N155" s="1" t="s">
        <v>22</v>
      </c>
      <c r="O155" s="1">
        <v>1</v>
      </c>
      <c r="P155" s="1" t="b">
        <v>1</v>
      </c>
      <c r="R155" s="1">
        <f t="shared" si="10"/>
        <v>0</v>
      </c>
      <c r="T155" s="1">
        <f t="shared" si="8"/>
        <v>0</v>
      </c>
      <c r="U155" s="1">
        <f t="shared" si="9"/>
        <v>0</v>
      </c>
    </row>
    <row r="156" spans="1:21" x14ac:dyDescent="0.25">
      <c r="A156" s="1" t="s">
        <v>356</v>
      </c>
      <c r="B156" s="1" t="s">
        <v>348</v>
      </c>
      <c r="C156" s="1" t="s">
        <v>34</v>
      </c>
      <c r="D156" s="2">
        <v>44697</v>
      </c>
      <c r="E156" s="2">
        <v>45012</v>
      </c>
      <c r="F156" s="2">
        <v>44697</v>
      </c>
      <c r="G156" s="2">
        <v>45012</v>
      </c>
      <c r="H156" s="1" t="s">
        <v>20</v>
      </c>
      <c r="I156" s="1">
        <v>100</v>
      </c>
      <c r="J156" s="1">
        <v>115586210</v>
      </c>
      <c r="L156" s="1" t="s">
        <v>357</v>
      </c>
      <c r="M156" s="1" t="s">
        <v>357</v>
      </c>
      <c r="N156" s="1" t="s">
        <v>22</v>
      </c>
      <c r="O156" s="1">
        <v>1</v>
      </c>
      <c r="P156" s="1" t="b">
        <v>1</v>
      </c>
      <c r="Q156" s="1" t="s">
        <v>29</v>
      </c>
      <c r="R156" s="1">
        <f t="shared" si="10"/>
        <v>0</v>
      </c>
      <c r="T156" s="1">
        <f t="shared" si="8"/>
        <v>0</v>
      </c>
      <c r="U156" s="1">
        <f t="shared" si="9"/>
        <v>0</v>
      </c>
    </row>
    <row r="157" spans="1:21" x14ac:dyDescent="0.25">
      <c r="A157" s="1" t="s">
        <v>358</v>
      </c>
      <c r="B157" s="1" t="s">
        <v>348</v>
      </c>
      <c r="C157" s="1" t="s">
        <v>37</v>
      </c>
      <c r="D157" s="2">
        <v>45012</v>
      </c>
      <c r="E157" s="2">
        <v>45138</v>
      </c>
      <c r="F157" s="2">
        <v>45012</v>
      </c>
      <c r="G157" s="2">
        <v>45138</v>
      </c>
      <c r="H157" s="1" t="s">
        <v>20</v>
      </c>
      <c r="I157" s="1">
        <v>100</v>
      </c>
      <c r="J157" s="1">
        <v>46234484</v>
      </c>
      <c r="L157" s="1" t="s">
        <v>359</v>
      </c>
      <c r="M157" s="1" t="s">
        <v>359</v>
      </c>
      <c r="N157" s="1" t="s">
        <v>22</v>
      </c>
      <c r="O157" s="1">
        <v>1</v>
      </c>
      <c r="P157" s="1" t="b">
        <v>1</v>
      </c>
      <c r="R157" s="1">
        <f t="shared" si="10"/>
        <v>0</v>
      </c>
      <c r="T157" s="1">
        <f t="shared" si="8"/>
        <v>0</v>
      </c>
      <c r="U157" s="1">
        <f t="shared" si="9"/>
        <v>0</v>
      </c>
    </row>
    <row r="158" spans="1:21" x14ac:dyDescent="0.25">
      <c r="A158" s="1" t="s">
        <v>360</v>
      </c>
      <c r="B158" s="1" t="s">
        <v>348</v>
      </c>
      <c r="C158" s="1" t="s">
        <v>41</v>
      </c>
      <c r="D158" s="2">
        <v>45138</v>
      </c>
      <c r="E158" s="2">
        <v>45238</v>
      </c>
      <c r="F158" s="2">
        <v>45138</v>
      </c>
      <c r="G158" s="2">
        <v>45238</v>
      </c>
      <c r="H158" s="1" t="s">
        <v>20</v>
      </c>
      <c r="I158" s="1">
        <v>100</v>
      </c>
      <c r="J158" s="1">
        <v>36987587</v>
      </c>
      <c r="L158" s="1" t="s">
        <v>361</v>
      </c>
      <c r="M158" s="1" t="s">
        <v>361</v>
      </c>
      <c r="N158" s="1" t="s">
        <v>22</v>
      </c>
      <c r="O158" s="1">
        <v>1</v>
      </c>
      <c r="P158" s="1" t="b">
        <v>1</v>
      </c>
      <c r="R158" s="1">
        <f t="shared" si="10"/>
        <v>0</v>
      </c>
      <c r="T158" s="1">
        <f t="shared" si="8"/>
        <v>0</v>
      </c>
      <c r="U158" s="1">
        <f t="shared" si="9"/>
        <v>0</v>
      </c>
    </row>
    <row r="159" spans="1:21" x14ac:dyDescent="0.25">
      <c r="A159" s="1" t="s">
        <v>362</v>
      </c>
      <c r="B159" s="1" t="s">
        <v>348</v>
      </c>
      <c r="C159" s="1" t="s">
        <v>45</v>
      </c>
      <c r="D159" s="2">
        <v>45238</v>
      </c>
      <c r="E159" s="2">
        <v>45364</v>
      </c>
      <c r="F159" s="2">
        <v>45238</v>
      </c>
      <c r="G159" s="2">
        <v>45364</v>
      </c>
      <c r="H159" s="1" t="s">
        <v>20</v>
      </c>
      <c r="I159" s="1">
        <v>100</v>
      </c>
      <c r="J159" s="1">
        <v>46234484</v>
      </c>
      <c r="L159" s="1" t="s">
        <v>363</v>
      </c>
      <c r="M159" s="1" t="s">
        <v>363</v>
      </c>
      <c r="N159" s="1" t="s">
        <v>22</v>
      </c>
      <c r="O159" s="1">
        <v>1</v>
      </c>
      <c r="P159" s="1" t="b">
        <v>1</v>
      </c>
      <c r="R159" s="1">
        <f t="shared" si="10"/>
        <v>0</v>
      </c>
      <c r="T159" s="1">
        <f t="shared" si="8"/>
        <v>0</v>
      </c>
      <c r="U159" s="1">
        <f t="shared" si="9"/>
        <v>0</v>
      </c>
    </row>
    <row r="160" spans="1:21" x14ac:dyDescent="0.25">
      <c r="A160" s="1" t="s">
        <v>364</v>
      </c>
      <c r="B160" s="1" t="s">
        <v>348</v>
      </c>
      <c r="C160" s="1" t="s">
        <v>48</v>
      </c>
      <c r="D160" s="2">
        <v>45364</v>
      </c>
      <c r="E160" s="2">
        <v>45401</v>
      </c>
      <c r="F160" s="2">
        <v>45364</v>
      </c>
      <c r="G160" s="2">
        <v>45401</v>
      </c>
      <c r="H160" s="1" t="s">
        <v>20</v>
      </c>
      <c r="I160" s="1">
        <v>100</v>
      </c>
      <c r="J160" s="1">
        <v>13870345</v>
      </c>
      <c r="L160" s="1" t="s">
        <v>365</v>
      </c>
      <c r="M160" s="1" t="s">
        <v>365</v>
      </c>
      <c r="N160" s="1" t="s">
        <v>22</v>
      </c>
      <c r="O160" s="1">
        <v>1</v>
      </c>
      <c r="P160" s="1" t="b">
        <v>1</v>
      </c>
      <c r="R160" s="1">
        <f t="shared" si="10"/>
        <v>0</v>
      </c>
      <c r="T160" s="1">
        <f t="shared" si="8"/>
        <v>0</v>
      </c>
      <c r="U160" s="1">
        <f t="shared" si="9"/>
        <v>0</v>
      </c>
    </row>
    <row r="161" spans="1:21" x14ac:dyDescent="0.25">
      <c r="A161" s="1" t="s">
        <v>366</v>
      </c>
      <c r="B161" s="1" t="s">
        <v>348</v>
      </c>
      <c r="C161" s="1" t="s">
        <v>51</v>
      </c>
      <c r="D161" s="2">
        <v>45401</v>
      </c>
      <c r="E161" s="2">
        <v>45426</v>
      </c>
      <c r="F161" s="2">
        <v>45401</v>
      </c>
      <c r="G161" s="2">
        <v>45426</v>
      </c>
      <c r="H161" s="1" t="s">
        <v>20</v>
      </c>
      <c r="I161" s="1">
        <v>100</v>
      </c>
      <c r="J161" s="1">
        <v>9246896</v>
      </c>
      <c r="L161" s="1" t="s">
        <v>367</v>
      </c>
      <c r="M161" s="1" t="s">
        <v>367</v>
      </c>
      <c r="N161" s="1" t="s">
        <v>22</v>
      </c>
      <c r="O161" s="1">
        <v>1</v>
      </c>
      <c r="P161" s="1" t="b">
        <v>1</v>
      </c>
      <c r="R161" s="1">
        <f t="shared" si="10"/>
        <v>0</v>
      </c>
      <c r="T161" s="1">
        <f t="shared" si="8"/>
        <v>0</v>
      </c>
      <c r="U161" s="1">
        <f t="shared" si="9"/>
        <v>0</v>
      </c>
    </row>
    <row r="162" spans="1:21" x14ac:dyDescent="0.25">
      <c r="A162" s="1" t="s">
        <v>368</v>
      </c>
      <c r="B162" s="1" t="s">
        <v>369</v>
      </c>
      <c r="C162" s="1" t="s">
        <v>19</v>
      </c>
      <c r="D162" s="2">
        <v>44408</v>
      </c>
      <c r="E162" s="2">
        <v>44462</v>
      </c>
      <c r="F162" s="2">
        <v>44408</v>
      </c>
      <c r="G162" s="2">
        <v>44462</v>
      </c>
      <c r="H162" s="1" t="s">
        <v>20</v>
      </c>
      <c r="I162" s="1">
        <v>100</v>
      </c>
      <c r="J162" s="1">
        <v>11075384</v>
      </c>
      <c r="L162" s="1" t="s">
        <v>370</v>
      </c>
      <c r="M162" s="1" t="s">
        <v>370</v>
      </c>
      <c r="N162" s="1" t="s">
        <v>22</v>
      </c>
      <c r="O162" s="1">
        <v>1</v>
      </c>
      <c r="P162" s="1" t="b">
        <v>1</v>
      </c>
      <c r="R162" s="1">
        <f t="shared" si="10"/>
        <v>0</v>
      </c>
      <c r="T162" s="1">
        <f t="shared" si="8"/>
        <v>0</v>
      </c>
      <c r="U162" s="1">
        <f t="shared" si="9"/>
        <v>0</v>
      </c>
    </row>
    <row r="163" spans="1:21" x14ac:dyDescent="0.25">
      <c r="A163" s="1" t="s">
        <v>371</v>
      </c>
      <c r="B163" s="1" t="s">
        <v>369</v>
      </c>
      <c r="C163" s="1" t="s">
        <v>24</v>
      </c>
      <c r="D163" s="2">
        <v>44462</v>
      </c>
      <c r="E163" s="2">
        <v>44570</v>
      </c>
      <c r="F163" s="2">
        <v>44462</v>
      </c>
      <c r="G163" s="2">
        <v>44570</v>
      </c>
      <c r="H163" s="1" t="s">
        <v>20</v>
      </c>
      <c r="I163" s="1">
        <v>100</v>
      </c>
      <c r="J163" s="1">
        <v>22150768</v>
      </c>
      <c r="L163" s="1" t="s">
        <v>372</v>
      </c>
      <c r="M163" s="1" t="s">
        <v>372</v>
      </c>
      <c r="N163" s="1" t="s">
        <v>22</v>
      </c>
      <c r="O163" s="1">
        <v>1</v>
      </c>
      <c r="P163" s="1" t="b">
        <v>1</v>
      </c>
      <c r="R163" s="1">
        <f t="shared" si="10"/>
        <v>0</v>
      </c>
      <c r="T163" s="1">
        <f t="shared" si="8"/>
        <v>0</v>
      </c>
      <c r="U163" s="1">
        <f t="shared" si="9"/>
        <v>0</v>
      </c>
    </row>
    <row r="164" spans="1:21" x14ac:dyDescent="0.25">
      <c r="A164" s="1" t="s">
        <v>373</v>
      </c>
      <c r="B164" s="1" t="s">
        <v>369</v>
      </c>
      <c r="C164" s="1" t="s">
        <v>27</v>
      </c>
      <c r="D164" s="2">
        <v>44570</v>
      </c>
      <c r="E164" s="2">
        <v>44699</v>
      </c>
      <c r="F164" s="2">
        <v>44570</v>
      </c>
      <c r="G164" s="2">
        <v>44699</v>
      </c>
      <c r="H164" s="1" t="s">
        <v>20</v>
      </c>
      <c r="I164" s="1">
        <v>100</v>
      </c>
      <c r="J164" s="1">
        <v>26580922</v>
      </c>
      <c r="L164" s="1" t="s">
        <v>374</v>
      </c>
      <c r="M164" s="1" t="s">
        <v>374</v>
      </c>
      <c r="N164" s="1" t="s">
        <v>22</v>
      </c>
      <c r="O164" s="1">
        <v>1</v>
      </c>
      <c r="P164" s="1" t="b">
        <v>1</v>
      </c>
      <c r="Q164" s="1" t="s">
        <v>29</v>
      </c>
      <c r="R164" s="1">
        <f t="shared" si="10"/>
        <v>0</v>
      </c>
      <c r="T164" s="1">
        <f t="shared" si="8"/>
        <v>0</v>
      </c>
      <c r="U164" s="1">
        <f t="shared" si="9"/>
        <v>0</v>
      </c>
    </row>
    <row r="165" spans="1:21" x14ac:dyDescent="0.25">
      <c r="A165" s="1" t="s">
        <v>375</v>
      </c>
      <c r="B165" s="1" t="s">
        <v>369</v>
      </c>
      <c r="C165" s="1" t="s">
        <v>31</v>
      </c>
      <c r="D165" s="2">
        <v>44699</v>
      </c>
      <c r="E165" s="2">
        <v>44861</v>
      </c>
      <c r="F165" s="2">
        <v>44699</v>
      </c>
      <c r="G165" s="2">
        <v>44861</v>
      </c>
      <c r="H165" s="1" t="s">
        <v>20</v>
      </c>
      <c r="I165" s="1">
        <v>100</v>
      </c>
      <c r="J165" s="1">
        <v>33226152</v>
      </c>
      <c r="L165" s="1" t="s">
        <v>376</v>
      </c>
      <c r="M165" s="1" t="s">
        <v>376</v>
      </c>
      <c r="N165" s="1" t="s">
        <v>22</v>
      </c>
      <c r="O165" s="1">
        <v>1</v>
      </c>
      <c r="P165" s="1" t="b">
        <v>1</v>
      </c>
      <c r="R165" s="1">
        <f t="shared" si="10"/>
        <v>0</v>
      </c>
      <c r="T165" s="1">
        <f t="shared" si="8"/>
        <v>0</v>
      </c>
      <c r="U165" s="1">
        <f t="shared" si="9"/>
        <v>0</v>
      </c>
    </row>
    <row r="166" spans="1:21" x14ac:dyDescent="0.25">
      <c r="A166" s="1" t="s">
        <v>377</v>
      </c>
      <c r="B166" s="1" t="s">
        <v>369</v>
      </c>
      <c r="C166" s="1" t="s">
        <v>34</v>
      </c>
      <c r="D166" s="2">
        <v>44861</v>
      </c>
      <c r="E166" s="2">
        <v>45131</v>
      </c>
      <c r="F166" s="2">
        <v>44861</v>
      </c>
      <c r="G166" s="2">
        <v>45131</v>
      </c>
      <c r="H166" s="1" t="s">
        <v>20</v>
      </c>
      <c r="I166" s="1">
        <v>100</v>
      </c>
      <c r="J166" s="1">
        <v>55376921</v>
      </c>
      <c r="L166" s="1" t="s">
        <v>378</v>
      </c>
      <c r="M166" s="1" t="s">
        <v>378</v>
      </c>
      <c r="N166" s="1" t="s">
        <v>22</v>
      </c>
      <c r="O166" s="1">
        <v>1</v>
      </c>
      <c r="P166" s="1" t="b">
        <v>1</v>
      </c>
      <c r="Q166" s="1" t="s">
        <v>29</v>
      </c>
      <c r="R166" s="1">
        <f t="shared" si="10"/>
        <v>0</v>
      </c>
      <c r="T166" s="1">
        <f t="shared" si="8"/>
        <v>0</v>
      </c>
      <c r="U166" s="1">
        <f t="shared" si="9"/>
        <v>0</v>
      </c>
    </row>
    <row r="167" spans="1:21" x14ac:dyDescent="0.25">
      <c r="A167" s="1" t="s">
        <v>379</v>
      </c>
      <c r="B167" s="1" t="s">
        <v>369</v>
      </c>
      <c r="C167" s="1" t="s">
        <v>37</v>
      </c>
      <c r="D167" s="2">
        <v>45131</v>
      </c>
      <c r="E167" s="2">
        <v>45239</v>
      </c>
      <c r="F167" s="2">
        <v>45131</v>
      </c>
      <c r="G167" s="2">
        <v>45239</v>
      </c>
      <c r="H167" s="1" t="s">
        <v>20</v>
      </c>
      <c r="I167" s="1">
        <v>100</v>
      </c>
      <c r="J167" s="1">
        <v>22150768</v>
      </c>
      <c r="L167" s="1" t="s">
        <v>380</v>
      </c>
      <c r="M167" s="1" t="s">
        <v>380</v>
      </c>
      <c r="N167" s="1" t="s">
        <v>22</v>
      </c>
      <c r="O167" s="1">
        <v>1</v>
      </c>
      <c r="P167" s="1" t="b">
        <v>1</v>
      </c>
      <c r="R167" s="1">
        <f t="shared" si="10"/>
        <v>0</v>
      </c>
      <c r="T167" s="1">
        <f t="shared" si="8"/>
        <v>0</v>
      </c>
      <c r="U167" s="1">
        <f t="shared" si="9"/>
        <v>0</v>
      </c>
    </row>
    <row r="168" spans="1:21" x14ac:dyDescent="0.25">
      <c r="A168" s="1" t="s">
        <v>381</v>
      </c>
      <c r="B168" s="1" t="s">
        <v>369</v>
      </c>
      <c r="C168" s="1" t="s">
        <v>41</v>
      </c>
      <c r="D168" s="2">
        <v>45239</v>
      </c>
      <c r="E168" s="2">
        <v>45325</v>
      </c>
      <c r="F168" s="2">
        <v>45239</v>
      </c>
      <c r="G168" s="2">
        <v>45325</v>
      </c>
      <c r="H168" s="1" t="s">
        <v>20</v>
      </c>
      <c r="I168" s="1">
        <v>100</v>
      </c>
      <c r="J168" s="1">
        <v>17720614</v>
      </c>
      <c r="L168" s="1" t="s">
        <v>382</v>
      </c>
      <c r="M168" s="1" t="s">
        <v>382</v>
      </c>
      <c r="N168" s="1" t="s">
        <v>22</v>
      </c>
      <c r="O168" s="1">
        <v>1</v>
      </c>
      <c r="P168" s="1" t="b">
        <v>1</v>
      </c>
      <c r="R168" s="1">
        <f t="shared" si="10"/>
        <v>0</v>
      </c>
      <c r="T168" s="1">
        <f t="shared" si="8"/>
        <v>0</v>
      </c>
      <c r="U168" s="1">
        <f t="shared" si="9"/>
        <v>0</v>
      </c>
    </row>
    <row r="169" spans="1:21" x14ac:dyDescent="0.25">
      <c r="A169" s="1" t="s">
        <v>383</v>
      </c>
      <c r="B169" s="1" t="s">
        <v>369</v>
      </c>
      <c r="C169" s="1" t="s">
        <v>45</v>
      </c>
      <c r="D169" s="2">
        <v>45325</v>
      </c>
      <c r="E169" s="2">
        <v>45433</v>
      </c>
      <c r="F169" s="2">
        <v>45325</v>
      </c>
      <c r="G169" s="2">
        <v>45433</v>
      </c>
      <c r="H169" s="1" t="s">
        <v>20</v>
      </c>
      <c r="I169" s="1">
        <v>100</v>
      </c>
      <c r="J169" s="1">
        <v>22150768</v>
      </c>
      <c r="L169" s="1" t="s">
        <v>384</v>
      </c>
      <c r="M169" s="1" t="s">
        <v>384</v>
      </c>
      <c r="N169" s="1" t="s">
        <v>22</v>
      </c>
      <c r="O169" s="1">
        <v>1</v>
      </c>
      <c r="P169" s="1" t="b">
        <v>1</v>
      </c>
      <c r="R169" s="1">
        <f t="shared" si="10"/>
        <v>0</v>
      </c>
      <c r="T169" s="1">
        <f t="shared" si="8"/>
        <v>0</v>
      </c>
      <c r="U169" s="1">
        <f t="shared" si="9"/>
        <v>0</v>
      </c>
    </row>
    <row r="170" spans="1:21" x14ac:dyDescent="0.25">
      <c r="A170" s="1" t="s">
        <v>385</v>
      </c>
      <c r="B170" s="1" t="s">
        <v>369</v>
      </c>
      <c r="C170" s="1" t="s">
        <v>48</v>
      </c>
      <c r="D170" s="2">
        <v>45433</v>
      </c>
      <c r="E170" s="2">
        <v>45465</v>
      </c>
      <c r="F170" s="2">
        <v>45433</v>
      </c>
      <c r="G170" s="2">
        <v>45465</v>
      </c>
      <c r="H170" s="1" t="s">
        <v>20</v>
      </c>
      <c r="I170" s="1">
        <v>100</v>
      </c>
      <c r="J170" s="1">
        <v>6645230</v>
      </c>
      <c r="L170" s="1" t="s">
        <v>386</v>
      </c>
      <c r="M170" s="1" t="s">
        <v>386</v>
      </c>
      <c r="N170" s="1" t="s">
        <v>22</v>
      </c>
      <c r="O170" s="1">
        <v>1</v>
      </c>
      <c r="P170" s="1" t="b">
        <v>1</v>
      </c>
      <c r="R170" s="1">
        <f t="shared" si="10"/>
        <v>0</v>
      </c>
      <c r="T170" s="1">
        <f t="shared" si="8"/>
        <v>0</v>
      </c>
      <c r="U170" s="1">
        <f t="shared" si="9"/>
        <v>0</v>
      </c>
    </row>
    <row r="171" spans="1:21" x14ac:dyDescent="0.25">
      <c r="A171" s="1" t="s">
        <v>387</v>
      </c>
      <c r="B171" s="1" t="s">
        <v>369</v>
      </c>
      <c r="C171" s="1" t="s">
        <v>51</v>
      </c>
      <c r="D171" s="2">
        <v>45465</v>
      </c>
      <c r="E171" s="2">
        <v>45486</v>
      </c>
      <c r="F171" s="2">
        <v>45465</v>
      </c>
      <c r="G171" s="2">
        <v>45486</v>
      </c>
      <c r="H171" s="1" t="s">
        <v>20</v>
      </c>
      <c r="I171" s="1">
        <v>100</v>
      </c>
      <c r="J171" s="1">
        <v>4430153</v>
      </c>
      <c r="L171" s="1" t="s">
        <v>388</v>
      </c>
      <c r="M171" s="1" t="s">
        <v>388</v>
      </c>
      <c r="N171" s="1" t="s">
        <v>22</v>
      </c>
      <c r="O171" s="1">
        <v>1</v>
      </c>
      <c r="P171" s="1" t="b">
        <v>1</v>
      </c>
      <c r="R171" s="1">
        <f t="shared" si="10"/>
        <v>0</v>
      </c>
      <c r="T171" s="1">
        <f t="shared" si="8"/>
        <v>0</v>
      </c>
      <c r="U171" s="1">
        <f t="shared" si="9"/>
        <v>0</v>
      </c>
    </row>
    <row r="172" spans="1:21" x14ac:dyDescent="0.25">
      <c r="A172" s="1" t="s">
        <v>389</v>
      </c>
      <c r="B172" s="1" t="s">
        <v>390</v>
      </c>
      <c r="C172" s="1" t="s">
        <v>19</v>
      </c>
      <c r="D172" s="2">
        <v>43993</v>
      </c>
      <c r="E172" s="2">
        <v>44012</v>
      </c>
      <c r="F172" s="2">
        <v>43993</v>
      </c>
      <c r="G172" s="2">
        <v>44012</v>
      </c>
      <c r="H172" s="1" t="s">
        <v>20</v>
      </c>
      <c r="I172" s="1">
        <v>100</v>
      </c>
      <c r="J172" s="1">
        <v>3005310</v>
      </c>
      <c r="L172" s="1" t="s">
        <v>391</v>
      </c>
      <c r="M172" s="1" t="s">
        <v>391</v>
      </c>
      <c r="N172" s="1" t="s">
        <v>22</v>
      </c>
      <c r="O172" s="1">
        <v>1</v>
      </c>
      <c r="P172" s="1" t="b">
        <v>1</v>
      </c>
      <c r="R172" s="1">
        <f t="shared" si="10"/>
        <v>0</v>
      </c>
      <c r="T172" s="1">
        <f t="shared" si="8"/>
        <v>0</v>
      </c>
      <c r="U172" s="1">
        <f t="shared" si="9"/>
        <v>0</v>
      </c>
    </row>
    <row r="173" spans="1:21" x14ac:dyDescent="0.25">
      <c r="A173" s="1" t="s">
        <v>392</v>
      </c>
      <c r="B173" s="1" t="s">
        <v>390</v>
      </c>
      <c r="C173" s="1" t="s">
        <v>24</v>
      </c>
      <c r="D173" s="2">
        <v>44012</v>
      </c>
      <c r="E173" s="2">
        <v>44051</v>
      </c>
      <c r="F173" s="2">
        <v>44012</v>
      </c>
      <c r="G173" s="2">
        <v>44051</v>
      </c>
      <c r="H173" s="1" t="s">
        <v>20</v>
      </c>
      <c r="I173" s="1">
        <v>100</v>
      </c>
      <c r="J173" s="1">
        <v>6010621</v>
      </c>
      <c r="L173" s="1" t="s">
        <v>393</v>
      </c>
      <c r="M173" s="1" t="s">
        <v>393</v>
      </c>
      <c r="N173" s="1" t="s">
        <v>22</v>
      </c>
      <c r="O173" s="1">
        <v>1</v>
      </c>
      <c r="P173" s="1" t="b">
        <v>1</v>
      </c>
      <c r="R173" s="1">
        <f t="shared" si="10"/>
        <v>0</v>
      </c>
      <c r="T173" s="1">
        <f t="shared" si="8"/>
        <v>0</v>
      </c>
      <c r="U173" s="1">
        <f t="shared" si="9"/>
        <v>0</v>
      </c>
    </row>
    <row r="174" spans="1:21" x14ac:dyDescent="0.25">
      <c r="A174" s="1" t="s">
        <v>394</v>
      </c>
      <c r="B174" s="1" t="s">
        <v>390</v>
      </c>
      <c r="C174" s="1" t="s">
        <v>27</v>
      </c>
      <c r="D174" s="2">
        <v>44051</v>
      </c>
      <c r="E174" s="2">
        <v>44097</v>
      </c>
      <c r="F174" s="2">
        <v>44051</v>
      </c>
      <c r="G174" s="2">
        <v>44097</v>
      </c>
      <c r="H174" s="1" t="s">
        <v>20</v>
      </c>
      <c r="I174" s="1">
        <v>100</v>
      </c>
      <c r="J174" s="1">
        <v>7212745</v>
      </c>
      <c r="L174" s="1" t="s">
        <v>395</v>
      </c>
      <c r="M174" s="1" t="s">
        <v>395</v>
      </c>
      <c r="N174" s="1" t="s">
        <v>22</v>
      </c>
      <c r="O174" s="1">
        <v>1</v>
      </c>
      <c r="P174" s="1" t="b">
        <v>1</v>
      </c>
      <c r="Q174" s="1" t="s">
        <v>29</v>
      </c>
      <c r="R174" s="1">
        <f t="shared" si="10"/>
        <v>0</v>
      </c>
      <c r="T174" s="1">
        <f t="shared" si="8"/>
        <v>0</v>
      </c>
      <c r="U174" s="1">
        <f t="shared" si="9"/>
        <v>0</v>
      </c>
    </row>
    <row r="175" spans="1:21" x14ac:dyDescent="0.25">
      <c r="A175" s="1" t="s">
        <v>396</v>
      </c>
      <c r="B175" s="1" t="s">
        <v>390</v>
      </c>
      <c r="C175" s="1" t="s">
        <v>31</v>
      </c>
      <c r="D175" s="2">
        <v>44097</v>
      </c>
      <c r="E175" s="2">
        <v>44155</v>
      </c>
      <c r="F175" s="2">
        <v>44097</v>
      </c>
      <c r="G175" s="2">
        <v>44155</v>
      </c>
      <c r="H175" s="1" t="s">
        <v>20</v>
      </c>
      <c r="I175" s="1">
        <v>100</v>
      </c>
      <c r="J175" s="1">
        <v>9015932</v>
      </c>
      <c r="L175" s="1" t="s">
        <v>397</v>
      </c>
      <c r="M175" s="1" t="s">
        <v>397</v>
      </c>
      <c r="N175" s="1" t="s">
        <v>22</v>
      </c>
      <c r="O175" s="1">
        <v>1</v>
      </c>
      <c r="P175" s="1" t="b">
        <v>1</v>
      </c>
      <c r="R175" s="1">
        <f t="shared" si="10"/>
        <v>0</v>
      </c>
      <c r="T175" s="1">
        <f t="shared" si="8"/>
        <v>0</v>
      </c>
      <c r="U175" s="1">
        <f t="shared" si="9"/>
        <v>0</v>
      </c>
    </row>
    <row r="176" spans="1:21" x14ac:dyDescent="0.25">
      <c r="A176" s="1" t="s">
        <v>398</v>
      </c>
      <c r="B176" s="1" t="s">
        <v>390</v>
      </c>
      <c r="C176" s="1" t="s">
        <v>34</v>
      </c>
      <c r="D176" s="2">
        <v>44155</v>
      </c>
      <c r="E176" s="2">
        <v>44252</v>
      </c>
      <c r="F176" s="2">
        <v>44155</v>
      </c>
      <c r="G176" s="2">
        <v>44252</v>
      </c>
      <c r="H176" s="1" t="s">
        <v>20</v>
      </c>
      <c r="I176" s="1">
        <v>100</v>
      </c>
      <c r="J176" s="1">
        <v>15026553</v>
      </c>
      <c r="L176" s="1" t="s">
        <v>399</v>
      </c>
      <c r="M176" s="1" t="s">
        <v>399</v>
      </c>
      <c r="N176" s="1" t="s">
        <v>22</v>
      </c>
      <c r="O176" s="1">
        <v>1</v>
      </c>
      <c r="P176" s="1" t="b">
        <v>1</v>
      </c>
      <c r="Q176" s="1" t="s">
        <v>29</v>
      </c>
      <c r="R176" s="1">
        <f t="shared" si="10"/>
        <v>0</v>
      </c>
      <c r="T176" s="1">
        <f t="shared" si="8"/>
        <v>0</v>
      </c>
      <c r="U176" s="1">
        <f t="shared" si="9"/>
        <v>0</v>
      </c>
    </row>
    <row r="177" spans="1:21" x14ac:dyDescent="0.25">
      <c r="A177" s="1" t="s">
        <v>400</v>
      </c>
      <c r="B177" s="1" t="s">
        <v>390</v>
      </c>
      <c r="C177" s="1" t="s">
        <v>37</v>
      </c>
      <c r="D177" s="2">
        <v>44252</v>
      </c>
      <c r="E177" s="2">
        <v>44291</v>
      </c>
      <c r="F177" s="2">
        <v>44252</v>
      </c>
      <c r="G177" s="2">
        <v>44291</v>
      </c>
      <c r="H177" s="1" t="s">
        <v>20</v>
      </c>
      <c r="I177" s="1">
        <v>100</v>
      </c>
      <c r="J177" s="1">
        <v>6010621</v>
      </c>
      <c r="L177" s="1" t="s">
        <v>401</v>
      </c>
      <c r="M177" s="1" t="s">
        <v>401</v>
      </c>
      <c r="N177" s="1" t="s">
        <v>22</v>
      </c>
      <c r="O177" s="1">
        <v>1</v>
      </c>
      <c r="P177" s="1" t="b">
        <v>1</v>
      </c>
      <c r="R177" s="1">
        <f t="shared" si="10"/>
        <v>0</v>
      </c>
      <c r="T177" s="1">
        <f t="shared" si="8"/>
        <v>0</v>
      </c>
      <c r="U177" s="1">
        <f t="shared" si="9"/>
        <v>0</v>
      </c>
    </row>
    <row r="178" spans="1:21" x14ac:dyDescent="0.25">
      <c r="A178" s="1" t="s">
        <v>402</v>
      </c>
      <c r="B178" s="1" t="s">
        <v>390</v>
      </c>
      <c r="C178" s="1" t="s">
        <v>41</v>
      </c>
      <c r="D178" s="2">
        <v>44291</v>
      </c>
      <c r="E178" s="2">
        <v>44322</v>
      </c>
      <c r="F178" s="2">
        <v>44291</v>
      </c>
      <c r="G178" s="2">
        <v>44322</v>
      </c>
      <c r="H178" s="1" t="s">
        <v>20</v>
      </c>
      <c r="I178" s="1">
        <v>100</v>
      </c>
      <c r="J178" s="1">
        <v>4808497</v>
      </c>
      <c r="L178" s="1" t="s">
        <v>403</v>
      </c>
      <c r="M178" s="1" t="s">
        <v>403</v>
      </c>
      <c r="N178" s="1" t="s">
        <v>22</v>
      </c>
      <c r="O178" s="1">
        <v>1</v>
      </c>
      <c r="P178" s="1" t="b">
        <v>1</v>
      </c>
      <c r="R178" s="1">
        <f t="shared" si="10"/>
        <v>0</v>
      </c>
      <c r="T178" s="1">
        <f t="shared" si="8"/>
        <v>0</v>
      </c>
      <c r="U178" s="1">
        <f t="shared" si="9"/>
        <v>0</v>
      </c>
    </row>
    <row r="179" spans="1:21" x14ac:dyDescent="0.25">
      <c r="A179" s="1" t="s">
        <v>404</v>
      </c>
      <c r="B179" s="1" t="s">
        <v>390</v>
      </c>
      <c r="C179" s="1" t="s">
        <v>45</v>
      </c>
      <c r="D179" s="2">
        <v>44322</v>
      </c>
      <c r="E179" s="2">
        <v>44361</v>
      </c>
      <c r="F179" s="2">
        <v>44322</v>
      </c>
      <c r="G179" s="2">
        <v>44361</v>
      </c>
      <c r="H179" s="1" t="s">
        <v>20</v>
      </c>
      <c r="I179" s="1">
        <v>100</v>
      </c>
      <c r="J179" s="1">
        <v>6010621</v>
      </c>
      <c r="L179" s="1" t="s">
        <v>405</v>
      </c>
      <c r="M179" s="1" t="s">
        <v>405</v>
      </c>
      <c r="N179" s="1" t="s">
        <v>22</v>
      </c>
      <c r="O179" s="1">
        <v>1</v>
      </c>
      <c r="P179" s="1" t="b">
        <v>1</v>
      </c>
      <c r="R179" s="1">
        <f t="shared" si="10"/>
        <v>0</v>
      </c>
      <c r="T179" s="1">
        <f t="shared" si="8"/>
        <v>0</v>
      </c>
      <c r="U179" s="1">
        <f t="shared" si="9"/>
        <v>0</v>
      </c>
    </row>
    <row r="180" spans="1:21" x14ac:dyDescent="0.25">
      <c r="A180" s="1" t="s">
        <v>406</v>
      </c>
      <c r="B180" s="1" t="s">
        <v>390</v>
      </c>
      <c r="C180" s="1" t="s">
        <v>48</v>
      </c>
      <c r="D180" s="2">
        <v>44361</v>
      </c>
      <c r="E180" s="2">
        <v>44372</v>
      </c>
      <c r="F180" s="2">
        <v>44361</v>
      </c>
      <c r="G180" s="2">
        <v>44372</v>
      </c>
      <c r="H180" s="1" t="s">
        <v>20</v>
      </c>
      <c r="I180" s="1">
        <v>100</v>
      </c>
      <c r="J180" s="1">
        <v>1803186</v>
      </c>
      <c r="L180" s="1" t="s">
        <v>407</v>
      </c>
      <c r="M180" s="1" t="s">
        <v>407</v>
      </c>
      <c r="N180" s="1" t="s">
        <v>22</v>
      </c>
      <c r="O180" s="1">
        <v>1</v>
      </c>
      <c r="P180" s="1" t="b">
        <v>1</v>
      </c>
      <c r="R180" s="1">
        <f t="shared" si="10"/>
        <v>0</v>
      </c>
      <c r="T180" s="1">
        <f t="shared" si="8"/>
        <v>0</v>
      </c>
      <c r="U180" s="1">
        <f t="shared" si="9"/>
        <v>0</v>
      </c>
    </row>
    <row r="181" spans="1:21" x14ac:dyDescent="0.25">
      <c r="A181" s="1" t="s">
        <v>408</v>
      </c>
      <c r="B181" s="1" t="s">
        <v>390</v>
      </c>
      <c r="C181" s="1" t="s">
        <v>51</v>
      </c>
      <c r="D181" s="2">
        <v>44372</v>
      </c>
      <c r="E181" s="2">
        <v>44379</v>
      </c>
      <c r="F181" s="2">
        <v>44372</v>
      </c>
      <c r="G181" s="2">
        <v>44379</v>
      </c>
      <c r="H181" s="1" t="s">
        <v>20</v>
      </c>
      <c r="I181" s="1">
        <v>100</v>
      </c>
      <c r="J181" s="1">
        <v>1202124</v>
      </c>
      <c r="L181" s="1" t="s">
        <v>409</v>
      </c>
      <c r="M181" s="1" t="s">
        <v>409</v>
      </c>
      <c r="N181" s="1" t="s">
        <v>22</v>
      </c>
      <c r="O181" s="1">
        <v>1</v>
      </c>
      <c r="P181" s="1" t="b">
        <v>1</v>
      </c>
      <c r="R181" s="1">
        <f t="shared" si="10"/>
        <v>0</v>
      </c>
      <c r="T181" s="1">
        <f t="shared" si="8"/>
        <v>0</v>
      </c>
      <c r="U181" s="1">
        <f t="shared" si="9"/>
        <v>0</v>
      </c>
    </row>
    <row r="182" spans="1:21" x14ac:dyDescent="0.25">
      <c r="A182" s="1" t="s">
        <v>410</v>
      </c>
      <c r="B182" s="1" t="s">
        <v>411</v>
      </c>
      <c r="C182" s="1" t="s">
        <v>19</v>
      </c>
      <c r="D182" s="2">
        <v>45499</v>
      </c>
      <c r="E182" s="2">
        <v>45536</v>
      </c>
      <c r="F182" s="2">
        <v>45499</v>
      </c>
      <c r="G182" s="2">
        <v>45536</v>
      </c>
      <c r="H182" s="1" t="s">
        <v>20</v>
      </c>
      <c r="I182" s="1">
        <v>100</v>
      </c>
      <c r="J182" s="1">
        <v>17821677</v>
      </c>
      <c r="L182" s="1" t="s">
        <v>412</v>
      </c>
      <c r="M182" s="1" t="s">
        <v>412</v>
      </c>
      <c r="N182" s="1" t="s">
        <v>22</v>
      </c>
      <c r="O182" s="1">
        <v>1</v>
      </c>
      <c r="P182" s="1" t="b">
        <v>1</v>
      </c>
      <c r="R182" s="1">
        <f t="shared" si="10"/>
        <v>0</v>
      </c>
      <c r="T182" s="1">
        <f t="shared" si="8"/>
        <v>0</v>
      </c>
      <c r="U182" s="1">
        <f t="shared" si="9"/>
        <v>0</v>
      </c>
    </row>
    <row r="183" spans="1:21" x14ac:dyDescent="0.25">
      <c r="A183" s="1" t="s">
        <v>413</v>
      </c>
      <c r="B183" s="1" t="s">
        <v>411</v>
      </c>
      <c r="C183" s="1" t="s">
        <v>24</v>
      </c>
      <c r="D183" s="2">
        <v>45536</v>
      </c>
      <c r="E183" s="2">
        <v>45611</v>
      </c>
      <c r="F183" s="2">
        <v>45536</v>
      </c>
      <c r="G183" s="2">
        <v>45611</v>
      </c>
      <c r="H183" s="1" t="s">
        <v>20</v>
      </c>
      <c r="I183" s="1">
        <v>100</v>
      </c>
      <c r="J183" s="1">
        <v>35643354</v>
      </c>
      <c r="L183" s="1" t="s">
        <v>414</v>
      </c>
      <c r="M183" s="1" t="s">
        <v>414</v>
      </c>
      <c r="N183" s="1" t="s">
        <v>22</v>
      </c>
      <c r="O183" s="1">
        <v>1</v>
      </c>
      <c r="P183" s="1" t="b">
        <v>1</v>
      </c>
      <c r="R183" s="1">
        <f t="shared" si="10"/>
        <v>0</v>
      </c>
      <c r="T183" s="1">
        <f t="shared" si="8"/>
        <v>0</v>
      </c>
      <c r="U183" s="1">
        <f t="shared" si="9"/>
        <v>0</v>
      </c>
    </row>
    <row r="184" spans="1:21" x14ac:dyDescent="0.25">
      <c r="A184" s="1" t="s">
        <v>415</v>
      </c>
      <c r="B184" s="1" t="s">
        <v>411</v>
      </c>
      <c r="C184" s="1" t="s">
        <v>27</v>
      </c>
      <c r="D184" s="2">
        <v>45611</v>
      </c>
      <c r="E184" s="2">
        <v>45701</v>
      </c>
      <c r="F184" s="2">
        <v>45611</v>
      </c>
      <c r="G184" s="2">
        <v>45701</v>
      </c>
      <c r="H184" s="1" t="s">
        <v>20</v>
      </c>
      <c r="I184" s="1">
        <v>100</v>
      </c>
      <c r="J184" s="1">
        <v>42772024</v>
      </c>
      <c r="L184" s="1" t="s">
        <v>416</v>
      </c>
      <c r="M184" s="1" t="s">
        <v>416</v>
      </c>
      <c r="N184" s="1" t="s">
        <v>22</v>
      </c>
      <c r="O184" s="1">
        <v>1</v>
      </c>
      <c r="P184" s="1" t="b">
        <v>1</v>
      </c>
      <c r="Q184" s="1" t="s">
        <v>29</v>
      </c>
      <c r="R184" s="1">
        <f t="shared" si="10"/>
        <v>0</v>
      </c>
      <c r="T184" s="1">
        <f t="shared" si="8"/>
        <v>0</v>
      </c>
      <c r="U184" s="1">
        <f t="shared" si="9"/>
        <v>0</v>
      </c>
    </row>
    <row r="185" spans="1:21" x14ac:dyDescent="0.25">
      <c r="A185" s="1" t="s">
        <v>417</v>
      </c>
      <c r="B185" s="1" t="s">
        <v>411</v>
      </c>
      <c r="C185" s="1" t="s">
        <v>31</v>
      </c>
      <c r="D185" s="2">
        <v>45701</v>
      </c>
      <c r="E185" s="2">
        <v>45813</v>
      </c>
      <c r="F185" s="2">
        <v>45701</v>
      </c>
      <c r="G185" s="2">
        <v>45813</v>
      </c>
      <c r="H185" s="1" t="s">
        <v>20</v>
      </c>
      <c r="I185" s="1">
        <v>100</v>
      </c>
      <c r="J185" s="1">
        <v>53465031</v>
      </c>
      <c r="L185" s="1" t="s">
        <v>418</v>
      </c>
      <c r="M185" s="1" t="s">
        <v>418</v>
      </c>
      <c r="N185" s="1" t="s">
        <v>22</v>
      </c>
      <c r="O185" s="1">
        <v>1</v>
      </c>
      <c r="P185" s="1" t="b">
        <v>1</v>
      </c>
      <c r="R185" s="1">
        <f t="shared" si="10"/>
        <v>0</v>
      </c>
      <c r="T185" s="1">
        <f t="shared" si="8"/>
        <v>0</v>
      </c>
      <c r="U185" s="1">
        <f t="shared" si="9"/>
        <v>0</v>
      </c>
    </row>
    <row r="186" spans="1:21" x14ac:dyDescent="0.25">
      <c r="A186" s="1" t="s">
        <v>419</v>
      </c>
      <c r="B186" s="1" t="s">
        <v>411</v>
      </c>
      <c r="C186" s="1" t="s">
        <v>34</v>
      </c>
      <c r="D186" s="2">
        <v>45813</v>
      </c>
      <c r="E186" s="2">
        <v>46000</v>
      </c>
      <c r="F186" s="2">
        <v>45813</v>
      </c>
      <c r="G186" s="2">
        <v>46000</v>
      </c>
      <c r="H186" s="1" t="s">
        <v>20</v>
      </c>
      <c r="I186" s="1">
        <v>100</v>
      </c>
      <c r="J186" s="1">
        <v>89108385</v>
      </c>
      <c r="L186" s="1" t="s">
        <v>420</v>
      </c>
      <c r="M186" s="1" t="s">
        <v>420</v>
      </c>
      <c r="N186" s="1" t="s">
        <v>22</v>
      </c>
      <c r="O186" s="1">
        <v>1</v>
      </c>
      <c r="P186" s="1" t="b">
        <v>1</v>
      </c>
      <c r="Q186" s="1" t="s">
        <v>29</v>
      </c>
      <c r="R186" s="1">
        <f t="shared" si="10"/>
        <v>0</v>
      </c>
      <c r="T186" s="1">
        <f t="shared" si="8"/>
        <v>0</v>
      </c>
      <c r="U186" s="1">
        <f t="shared" si="9"/>
        <v>0</v>
      </c>
    </row>
    <row r="187" spans="1:21" x14ac:dyDescent="0.25">
      <c r="A187" s="1" t="s">
        <v>421</v>
      </c>
      <c r="B187" s="1" t="s">
        <v>411</v>
      </c>
      <c r="C187" s="1" t="s">
        <v>37</v>
      </c>
      <c r="D187" s="2">
        <v>46000</v>
      </c>
      <c r="E187" s="2">
        <v>46075</v>
      </c>
      <c r="F187" s="2">
        <v>46000</v>
      </c>
      <c r="G187" s="2">
        <v>46075</v>
      </c>
      <c r="H187" s="1" t="s">
        <v>20</v>
      </c>
      <c r="I187" s="1">
        <v>100</v>
      </c>
      <c r="J187" s="1">
        <v>35643354</v>
      </c>
      <c r="L187" s="1" t="s">
        <v>422</v>
      </c>
      <c r="M187" s="1" t="s">
        <v>422</v>
      </c>
      <c r="N187" s="1" t="s">
        <v>22</v>
      </c>
      <c r="O187" s="1">
        <v>1</v>
      </c>
      <c r="P187" s="1" t="b">
        <v>1</v>
      </c>
      <c r="R187" s="1">
        <f t="shared" si="10"/>
        <v>0</v>
      </c>
      <c r="T187" s="1">
        <f t="shared" si="8"/>
        <v>0</v>
      </c>
      <c r="U187" s="1">
        <f t="shared" si="9"/>
        <v>0</v>
      </c>
    </row>
    <row r="188" spans="1:21" x14ac:dyDescent="0.25">
      <c r="A188" s="1" t="s">
        <v>423</v>
      </c>
      <c r="B188" s="1" t="s">
        <v>411</v>
      </c>
      <c r="C188" s="1" t="s">
        <v>41</v>
      </c>
      <c r="D188" s="2">
        <v>46075</v>
      </c>
      <c r="E188" s="2">
        <v>46135</v>
      </c>
      <c r="F188" s="2">
        <v>46075</v>
      </c>
      <c r="H188" s="1" t="s">
        <v>38</v>
      </c>
      <c r="I188" s="1">
        <v>62</v>
      </c>
      <c r="J188" s="1">
        <v>28514683</v>
      </c>
      <c r="L188" s="1" t="s">
        <v>424</v>
      </c>
      <c r="M188" s="1" t="s">
        <v>424</v>
      </c>
      <c r="N188" s="1" t="s">
        <v>22</v>
      </c>
      <c r="O188" s="1">
        <v>1</v>
      </c>
      <c r="P188" s="1" t="b">
        <v>1</v>
      </c>
      <c r="S188" s="1">
        <f>R$7-E188</f>
        <v>159</v>
      </c>
      <c r="T188" s="1">
        <f t="shared" si="8"/>
        <v>1</v>
      </c>
      <c r="U188" s="1">
        <f t="shared" si="9"/>
        <v>159</v>
      </c>
    </row>
    <row r="189" spans="1:21" x14ac:dyDescent="0.25">
      <c r="A189" s="1" t="s">
        <v>425</v>
      </c>
      <c r="B189" s="1" t="s">
        <v>411</v>
      </c>
      <c r="C189" s="1" t="s">
        <v>45</v>
      </c>
      <c r="D189" s="2">
        <v>46135</v>
      </c>
      <c r="E189" s="2">
        <v>46210</v>
      </c>
      <c r="H189" s="1" t="s">
        <v>42</v>
      </c>
      <c r="I189" s="1">
        <v>0</v>
      </c>
      <c r="J189" s="1">
        <v>35643354</v>
      </c>
      <c r="L189" s="1" t="s">
        <v>426</v>
      </c>
      <c r="M189" s="1" t="s">
        <v>426</v>
      </c>
      <c r="N189" s="1" t="s">
        <v>22</v>
      </c>
      <c r="O189" s="1">
        <v>1</v>
      </c>
      <c r="P189" s="1" t="b">
        <v>1</v>
      </c>
      <c r="S189" s="1">
        <f>R$7-E189</f>
        <v>84</v>
      </c>
      <c r="T189" s="1">
        <f t="shared" si="8"/>
        <v>1</v>
      </c>
      <c r="U189" s="1">
        <f t="shared" si="9"/>
        <v>84</v>
      </c>
    </row>
    <row r="190" spans="1:21" x14ac:dyDescent="0.25">
      <c r="A190" s="1" t="s">
        <v>427</v>
      </c>
      <c r="B190" s="1" t="s">
        <v>411</v>
      </c>
      <c r="C190" s="1" t="s">
        <v>48</v>
      </c>
      <c r="D190" s="2">
        <v>46210</v>
      </c>
      <c r="E190" s="2">
        <v>46232</v>
      </c>
      <c r="H190" s="1" t="s">
        <v>42</v>
      </c>
      <c r="I190" s="1">
        <v>0</v>
      </c>
      <c r="J190" s="1">
        <v>10693006</v>
      </c>
      <c r="L190" s="1" t="s">
        <v>428</v>
      </c>
      <c r="M190" s="1" t="s">
        <v>428</v>
      </c>
      <c r="N190" s="1" t="s">
        <v>22</v>
      </c>
      <c r="O190" s="1">
        <v>1</v>
      </c>
      <c r="P190" s="1" t="b">
        <v>1</v>
      </c>
      <c r="S190" s="1">
        <f>R$7-E190</f>
        <v>62</v>
      </c>
      <c r="T190" s="1">
        <f t="shared" si="8"/>
        <v>1</v>
      </c>
      <c r="U190" s="1">
        <f t="shared" si="9"/>
        <v>62</v>
      </c>
    </row>
    <row r="191" spans="1:21" x14ac:dyDescent="0.25">
      <c r="A191" s="1" t="s">
        <v>429</v>
      </c>
      <c r="B191" s="1" t="s">
        <v>411</v>
      </c>
      <c r="C191" s="1" t="s">
        <v>51</v>
      </c>
      <c r="D191" s="2">
        <v>46232</v>
      </c>
      <c r="E191" s="2">
        <v>46247</v>
      </c>
      <c r="H191" s="1" t="s">
        <v>42</v>
      </c>
      <c r="I191" s="1">
        <v>0</v>
      </c>
      <c r="J191" s="1">
        <v>7128670</v>
      </c>
      <c r="L191" s="1" t="s">
        <v>430</v>
      </c>
      <c r="M191" s="1" t="s">
        <v>430</v>
      </c>
      <c r="N191" s="1" t="s">
        <v>22</v>
      </c>
      <c r="O191" s="1">
        <v>1</v>
      </c>
      <c r="P191" s="1" t="b">
        <v>1</v>
      </c>
      <c r="S191" s="1">
        <f>R$7-E191</f>
        <v>47</v>
      </c>
      <c r="T191" s="1">
        <f t="shared" si="8"/>
        <v>1</v>
      </c>
      <c r="U191" s="1">
        <f t="shared" si="9"/>
        <v>47</v>
      </c>
    </row>
    <row r="192" spans="1:21" x14ac:dyDescent="0.25">
      <c r="A192" s="1" t="s">
        <v>431</v>
      </c>
      <c r="B192" s="1" t="s">
        <v>432</v>
      </c>
      <c r="C192" s="1" t="s">
        <v>19</v>
      </c>
      <c r="D192" s="2">
        <v>44440</v>
      </c>
      <c r="E192" s="2">
        <v>44467</v>
      </c>
      <c r="F192" s="2">
        <v>44440</v>
      </c>
      <c r="G192" s="2">
        <v>44467</v>
      </c>
      <c r="H192" s="1" t="s">
        <v>20</v>
      </c>
      <c r="I192" s="1">
        <v>100</v>
      </c>
      <c r="J192" s="1">
        <v>20632839</v>
      </c>
      <c r="L192" s="1" t="s">
        <v>433</v>
      </c>
      <c r="M192" s="1" t="s">
        <v>433</v>
      </c>
      <c r="N192" s="1" t="s">
        <v>22</v>
      </c>
      <c r="O192" s="1">
        <v>1</v>
      </c>
      <c r="P192" s="1" t="b">
        <v>1</v>
      </c>
      <c r="R192" s="1">
        <f t="shared" ref="R192:R226" si="11">G192-E192</f>
        <v>0</v>
      </c>
      <c r="T192" s="1">
        <f t="shared" si="8"/>
        <v>0</v>
      </c>
      <c r="U192" s="1">
        <f t="shared" si="9"/>
        <v>0</v>
      </c>
    </row>
    <row r="193" spans="1:21" x14ac:dyDescent="0.25">
      <c r="A193" s="1" t="s">
        <v>434</v>
      </c>
      <c r="B193" s="1" t="s">
        <v>432</v>
      </c>
      <c r="C193" s="1" t="s">
        <v>24</v>
      </c>
      <c r="D193" s="2">
        <v>44467</v>
      </c>
      <c r="E193" s="2">
        <v>44521</v>
      </c>
      <c r="F193" s="2">
        <v>44467</v>
      </c>
      <c r="G193" s="2">
        <v>44521</v>
      </c>
      <c r="H193" s="1" t="s">
        <v>20</v>
      </c>
      <c r="I193" s="1">
        <v>100</v>
      </c>
      <c r="J193" s="1">
        <v>41265679</v>
      </c>
      <c r="L193" s="1" t="s">
        <v>435</v>
      </c>
      <c r="M193" s="1" t="s">
        <v>435</v>
      </c>
      <c r="N193" s="1" t="s">
        <v>22</v>
      </c>
      <c r="O193" s="1">
        <v>1</v>
      </c>
      <c r="P193" s="1" t="b">
        <v>1</v>
      </c>
      <c r="R193" s="1">
        <f t="shared" si="11"/>
        <v>0</v>
      </c>
      <c r="T193" s="1">
        <f t="shared" si="8"/>
        <v>0</v>
      </c>
      <c r="U193" s="1">
        <f t="shared" si="9"/>
        <v>0</v>
      </c>
    </row>
    <row r="194" spans="1:21" x14ac:dyDescent="0.25">
      <c r="A194" s="1" t="s">
        <v>436</v>
      </c>
      <c r="B194" s="1" t="s">
        <v>432</v>
      </c>
      <c r="C194" s="1" t="s">
        <v>27</v>
      </c>
      <c r="D194" s="2">
        <v>44521</v>
      </c>
      <c r="E194" s="2">
        <v>44585</v>
      </c>
      <c r="F194" s="2">
        <v>44521</v>
      </c>
      <c r="G194" s="2">
        <v>44585</v>
      </c>
      <c r="H194" s="1" t="s">
        <v>20</v>
      </c>
      <c r="I194" s="1">
        <v>100</v>
      </c>
      <c r="J194" s="1">
        <v>49518815</v>
      </c>
      <c r="L194" s="1" t="s">
        <v>437</v>
      </c>
      <c r="M194" s="1" t="s">
        <v>437</v>
      </c>
      <c r="N194" s="1" t="s">
        <v>22</v>
      </c>
      <c r="O194" s="1">
        <v>1</v>
      </c>
      <c r="P194" s="1" t="b">
        <v>1</v>
      </c>
      <c r="Q194" s="1" t="s">
        <v>29</v>
      </c>
      <c r="R194" s="1">
        <f t="shared" si="11"/>
        <v>0</v>
      </c>
      <c r="T194" s="1">
        <f t="shared" si="8"/>
        <v>0</v>
      </c>
      <c r="U194" s="1">
        <f t="shared" si="9"/>
        <v>0</v>
      </c>
    </row>
    <row r="195" spans="1:21" x14ac:dyDescent="0.25">
      <c r="A195" s="1" t="s">
        <v>438</v>
      </c>
      <c r="B195" s="1" t="s">
        <v>432</v>
      </c>
      <c r="C195" s="1" t="s">
        <v>31</v>
      </c>
      <c r="D195" s="2">
        <v>44585</v>
      </c>
      <c r="E195" s="2">
        <v>44666</v>
      </c>
      <c r="F195" s="2">
        <v>44585</v>
      </c>
      <c r="G195" s="2">
        <v>44666</v>
      </c>
      <c r="H195" s="1" t="s">
        <v>20</v>
      </c>
      <c r="I195" s="1">
        <v>100</v>
      </c>
      <c r="J195" s="1">
        <v>61898519</v>
      </c>
      <c r="L195" s="1" t="s">
        <v>439</v>
      </c>
      <c r="M195" s="1" t="s">
        <v>439</v>
      </c>
      <c r="N195" s="1" t="s">
        <v>22</v>
      </c>
      <c r="O195" s="1">
        <v>1</v>
      </c>
      <c r="P195" s="1" t="b">
        <v>1</v>
      </c>
      <c r="R195" s="1">
        <f t="shared" si="11"/>
        <v>0</v>
      </c>
      <c r="T195" s="1">
        <f t="shared" ref="T195:T258" si="12">IF(S195&gt;0,1,0)</f>
        <v>0</v>
      </c>
      <c r="U195" s="1">
        <f t="shared" ref="U195:U258" si="13">IF(S195&gt;0,S195,0)</f>
        <v>0</v>
      </c>
    </row>
    <row r="196" spans="1:21" x14ac:dyDescent="0.25">
      <c r="A196" s="1" t="s">
        <v>440</v>
      </c>
      <c r="B196" s="1" t="s">
        <v>432</v>
      </c>
      <c r="C196" s="1" t="s">
        <v>34</v>
      </c>
      <c r="D196" s="2">
        <v>44666</v>
      </c>
      <c r="E196" s="2">
        <v>44801</v>
      </c>
      <c r="F196" s="2">
        <v>44666</v>
      </c>
      <c r="G196" s="2">
        <v>44801</v>
      </c>
      <c r="H196" s="1" t="s">
        <v>20</v>
      </c>
      <c r="I196" s="1">
        <v>100</v>
      </c>
      <c r="J196" s="1">
        <v>103164198</v>
      </c>
      <c r="L196" s="1" t="s">
        <v>441</v>
      </c>
      <c r="M196" s="1" t="s">
        <v>441</v>
      </c>
      <c r="N196" s="1" t="s">
        <v>22</v>
      </c>
      <c r="O196" s="1">
        <v>1</v>
      </c>
      <c r="P196" s="1" t="b">
        <v>1</v>
      </c>
      <c r="Q196" s="1" t="s">
        <v>29</v>
      </c>
      <c r="R196" s="1">
        <f t="shared" si="11"/>
        <v>0</v>
      </c>
      <c r="T196" s="1">
        <f t="shared" si="12"/>
        <v>0</v>
      </c>
      <c r="U196" s="1">
        <f t="shared" si="13"/>
        <v>0</v>
      </c>
    </row>
    <row r="197" spans="1:21" x14ac:dyDescent="0.25">
      <c r="A197" s="1" t="s">
        <v>442</v>
      </c>
      <c r="B197" s="1" t="s">
        <v>432</v>
      </c>
      <c r="C197" s="1" t="s">
        <v>37</v>
      </c>
      <c r="D197" s="2">
        <v>44801</v>
      </c>
      <c r="E197" s="2">
        <v>44855</v>
      </c>
      <c r="F197" s="2">
        <v>44801</v>
      </c>
      <c r="G197" s="2">
        <v>44855</v>
      </c>
      <c r="H197" s="1" t="s">
        <v>20</v>
      </c>
      <c r="I197" s="1">
        <v>100</v>
      </c>
      <c r="J197" s="1">
        <v>41265679</v>
      </c>
      <c r="L197" s="1" t="s">
        <v>443</v>
      </c>
      <c r="M197" s="1" t="s">
        <v>443</v>
      </c>
      <c r="N197" s="1" t="s">
        <v>22</v>
      </c>
      <c r="O197" s="1">
        <v>1</v>
      </c>
      <c r="P197" s="1" t="b">
        <v>1</v>
      </c>
      <c r="R197" s="1">
        <f t="shared" si="11"/>
        <v>0</v>
      </c>
      <c r="T197" s="1">
        <f t="shared" si="12"/>
        <v>0</v>
      </c>
      <c r="U197" s="1">
        <f t="shared" si="13"/>
        <v>0</v>
      </c>
    </row>
    <row r="198" spans="1:21" x14ac:dyDescent="0.25">
      <c r="A198" s="1" t="s">
        <v>444</v>
      </c>
      <c r="B198" s="1" t="s">
        <v>432</v>
      </c>
      <c r="C198" s="1" t="s">
        <v>41</v>
      </c>
      <c r="D198" s="2">
        <v>44855</v>
      </c>
      <c r="E198" s="2">
        <v>44898</v>
      </c>
      <c r="F198" s="2">
        <v>44855</v>
      </c>
      <c r="G198" s="2">
        <v>44898</v>
      </c>
      <c r="H198" s="1" t="s">
        <v>20</v>
      </c>
      <c r="I198" s="1">
        <v>100</v>
      </c>
      <c r="J198" s="1">
        <v>33012543</v>
      </c>
      <c r="L198" s="1" t="s">
        <v>445</v>
      </c>
      <c r="M198" s="1" t="s">
        <v>445</v>
      </c>
      <c r="N198" s="1" t="s">
        <v>22</v>
      </c>
      <c r="O198" s="1">
        <v>1</v>
      </c>
      <c r="P198" s="1" t="b">
        <v>1</v>
      </c>
      <c r="R198" s="1">
        <f t="shared" si="11"/>
        <v>0</v>
      </c>
      <c r="T198" s="1">
        <f t="shared" si="12"/>
        <v>0</v>
      </c>
      <c r="U198" s="1">
        <f t="shared" si="13"/>
        <v>0</v>
      </c>
    </row>
    <row r="199" spans="1:21" x14ac:dyDescent="0.25">
      <c r="A199" s="1" t="s">
        <v>446</v>
      </c>
      <c r="B199" s="1" t="s">
        <v>432</v>
      </c>
      <c r="C199" s="1" t="s">
        <v>45</v>
      </c>
      <c r="D199" s="2">
        <v>44898</v>
      </c>
      <c r="E199" s="2">
        <v>44952</v>
      </c>
      <c r="F199" s="2">
        <v>44898</v>
      </c>
      <c r="G199" s="2">
        <v>44952</v>
      </c>
      <c r="H199" s="1" t="s">
        <v>20</v>
      </c>
      <c r="I199" s="1">
        <v>100</v>
      </c>
      <c r="J199" s="1">
        <v>41265679</v>
      </c>
      <c r="L199" s="1" t="s">
        <v>447</v>
      </c>
      <c r="M199" s="1" t="s">
        <v>447</v>
      </c>
      <c r="N199" s="1" t="s">
        <v>22</v>
      </c>
      <c r="O199" s="1">
        <v>1</v>
      </c>
      <c r="P199" s="1" t="b">
        <v>1</v>
      </c>
      <c r="R199" s="1">
        <f t="shared" si="11"/>
        <v>0</v>
      </c>
      <c r="T199" s="1">
        <f t="shared" si="12"/>
        <v>0</v>
      </c>
      <c r="U199" s="1">
        <f t="shared" si="13"/>
        <v>0</v>
      </c>
    </row>
    <row r="200" spans="1:21" x14ac:dyDescent="0.25">
      <c r="A200" s="1" t="s">
        <v>448</v>
      </c>
      <c r="B200" s="1" t="s">
        <v>432</v>
      </c>
      <c r="C200" s="1" t="s">
        <v>48</v>
      </c>
      <c r="D200" s="2">
        <v>44952</v>
      </c>
      <c r="E200" s="2">
        <v>44968</v>
      </c>
      <c r="F200" s="2">
        <v>44952</v>
      </c>
      <c r="G200" s="2">
        <v>44968</v>
      </c>
      <c r="H200" s="1" t="s">
        <v>20</v>
      </c>
      <c r="I200" s="1">
        <v>100</v>
      </c>
      <c r="J200" s="1">
        <v>12379703</v>
      </c>
      <c r="L200" s="1" t="s">
        <v>449</v>
      </c>
      <c r="M200" s="1" t="s">
        <v>449</v>
      </c>
      <c r="N200" s="1" t="s">
        <v>22</v>
      </c>
      <c r="O200" s="1">
        <v>1</v>
      </c>
      <c r="P200" s="1" t="b">
        <v>1</v>
      </c>
      <c r="R200" s="1">
        <f t="shared" si="11"/>
        <v>0</v>
      </c>
      <c r="T200" s="1">
        <f t="shared" si="12"/>
        <v>0</v>
      </c>
      <c r="U200" s="1">
        <f t="shared" si="13"/>
        <v>0</v>
      </c>
    </row>
    <row r="201" spans="1:21" x14ac:dyDescent="0.25">
      <c r="A201" s="1" t="s">
        <v>450</v>
      </c>
      <c r="B201" s="1" t="s">
        <v>432</v>
      </c>
      <c r="C201" s="1" t="s">
        <v>51</v>
      </c>
      <c r="D201" s="2">
        <v>44968</v>
      </c>
      <c r="E201" s="2">
        <v>44978</v>
      </c>
      <c r="F201" s="2">
        <v>44968</v>
      </c>
      <c r="G201" s="2">
        <v>44978</v>
      </c>
      <c r="H201" s="1" t="s">
        <v>20</v>
      </c>
      <c r="I201" s="1">
        <v>100</v>
      </c>
      <c r="J201" s="1">
        <v>8253135</v>
      </c>
      <c r="L201" s="1" t="s">
        <v>451</v>
      </c>
      <c r="M201" s="1" t="s">
        <v>451</v>
      </c>
      <c r="N201" s="1" t="s">
        <v>22</v>
      </c>
      <c r="O201" s="1">
        <v>1</v>
      </c>
      <c r="P201" s="1" t="b">
        <v>1</v>
      </c>
      <c r="R201" s="1">
        <f t="shared" si="11"/>
        <v>0</v>
      </c>
      <c r="T201" s="1">
        <f t="shared" si="12"/>
        <v>0</v>
      </c>
      <c r="U201" s="1">
        <f t="shared" si="13"/>
        <v>0</v>
      </c>
    </row>
    <row r="202" spans="1:21" x14ac:dyDescent="0.25">
      <c r="A202" s="1" t="s">
        <v>452</v>
      </c>
      <c r="B202" s="1" t="s">
        <v>453</v>
      </c>
      <c r="C202" s="1" t="s">
        <v>19</v>
      </c>
      <c r="D202" s="2">
        <v>44617</v>
      </c>
      <c r="E202" s="2">
        <v>44674</v>
      </c>
      <c r="F202" s="2">
        <v>44617</v>
      </c>
      <c r="G202" s="2">
        <v>44674</v>
      </c>
      <c r="H202" s="1" t="s">
        <v>20</v>
      </c>
      <c r="I202" s="1">
        <v>100</v>
      </c>
      <c r="J202" s="1">
        <v>3121226</v>
      </c>
      <c r="L202" s="1" t="s">
        <v>454</v>
      </c>
      <c r="M202" s="1" t="s">
        <v>454</v>
      </c>
      <c r="N202" s="1" t="s">
        <v>22</v>
      </c>
      <c r="O202" s="1">
        <v>1</v>
      </c>
      <c r="P202" s="1" t="b">
        <v>1</v>
      </c>
      <c r="R202" s="1">
        <f t="shared" si="11"/>
        <v>0</v>
      </c>
      <c r="T202" s="1">
        <f t="shared" si="12"/>
        <v>0</v>
      </c>
      <c r="U202" s="1">
        <f t="shared" si="13"/>
        <v>0</v>
      </c>
    </row>
    <row r="203" spans="1:21" x14ac:dyDescent="0.25">
      <c r="A203" s="1" t="s">
        <v>455</v>
      </c>
      <c r="B203" s="1" t="s">
        <v>453</v>
      </c>
      <c r="C203" s="1" t="s">
        <v>24</v>
      </c>
      <c r="D203" s="2">
        <v>44674</v>
      </c>
      <c r="E203" s="2">
        <v>44788</v>
      </c>
      <c r="F203" s="2">
        <v>44674</v>
      </c>
      <c r="G203" s="2">
        <v>44788</v>
      </c>
      <c r="H203" s="1" t="s">
        <v>20</v>
      </c>
      <c r="I203" s="1">
        <v>100</v>
      </c>
      <c r="J203" s="1">
        <v>6242452</v>
      </c>
      <c r="L203" s="1" t="s">
        <v>456</v>
      </c>
      <c r="M203" s="1" t="s">
        <v>456</v>
      </c>
      <c r="N203" s="1" t="s">
        <v>22</v>
      </c>
      <c r="O203" s="1">
        <v>1</v>
      </c>
      <c r="P203" s="1" t="b">
        <v>1</v>
      </c>
      <c r="R203" s="1">
        <f t="shared" si="11"/>
        <v>0</v>
      </c>
      <c r="T203" s="1">
        <f t="shared" si="12"/>
        <v>0</v>
      </c>
      <c r="U203" s="1">
        <f t="shared" si="13"/>
        <v>0</v>
      </c>
    </row>
    <row r="204" spans="1:21" x14ac:dyDescent="0.25">
      <c r="A204" s="1" t="s">
        <v>457</v>
      </c>
      <c r="B204" s="1" t="s">
        <v>453</v>
      </c>
      <c r="C204" s="1" t="s">
        <v>27</v>
      </c>
      <c r="D204" s="2">
        <v>44788</v>
      </c>
      <c r="E204" s="2">
        <v>44924</v>
      </c>
      <c r="F204" s="2">
        <v>44788</v>
      </c>
      <c r="G204" s="2">
        <v>44924</v>
      </c>
      <c r="H204" s="1" t="s">
        <v>20</v>
      </c>
      <c r="I204" s="1">
        <v>100</v>
      </c>
      <c r="J204" s="1">
        <v>7490942</v>
      </c>
      <c r="L204" s="1" t="s">
        <v>458</v>
      </c>
      <c r="M204" s="1" t="s">
        <v>458</v>
      </c>
      <c r="N204" s="1" t="s">
        <v>22</v>
      </c>
      <c r="O204" s="1">
        <v>1</v>
      </c>
      <c r="P204" s="1" t="b">
        <v>1</v>
      </c>
      <c r="Q204" s="1" t="s">
        <v>29</v>
      </c>
      <c r="R204" s="1">
        <f t="shared" si="11"/>
        <v>0</v>
      </c>
      <c r="T204" s="1">
        <f t="shared" si="12"/>
        <v>0</v>
      </c>
      <c r="U204" s="1">
        <f t="shared" si="13"/>
        <v>0</v>
      </c>
    </row>
    <row r="205" spans="1:21" x14ac:dyDescent="0.25">
      <c r="A205" s="1" t="s">
        <v>459</v>
      </c>
      <c r="B205" s="1" t="s">
        <v>453</v>
      </c>
      <c r="C205" s="1" t="s">
        <v>31</v>
      </c>
      <c r="D205" s="2">
        <v>44924</v>
      </c>
      <c r="E205" s="2">
        <v>45095</v>
      </c>
      <c r="F205" s="2">
        <v>44924</v>
      </c>
      <c r="G205" s="2">
        <v>45095</v>
      </c>
      <c r="H205" s="1" t="s">
        <v>20</v>
      </c>
      <c r="I205" s="1">
        <v>100</v>
      </c>
      <c r="J205" s="1">
        <v>9363678</v>
      </c>
      <c r="L205" s="1" t="s">
        <v>460</v>
      </c>
      <c r="M205" s="1" t="s">
        <v>460</v>
      </c>
      <c r="N205" s="1" t="s">
        <v>22</v>
      </c>
      <c r="O205" s="1">
        <v>1</v>
      </c>
      <c r="P205" s="1" t="b">
        <v>1</v>
      </c>
      <c r="R205" s="1">
        <f t="shared" si="11"/>
        <v>0</v>
      </c>
      <c r="T205" s="1">
        <f t="shared" si="12"/>
        <v>0</v>
      </c>
      <c r="U205" s="1">
        <f t="shared" si="13"/>
        <v>0</v>
      </c>
    </row>
    <row r="206" spans="1:21" x14ac:dyDescent="0.25">
      <c r="A206" s="1" t="s">
        <v>461</v>
      </c>
      <c r="B206" s="1" t="s">
        <v>453</v>
      </c>
      <c r="C206" s="1" t="s">
        <v>34</v>
      </c>
      <c r="D206" s="2">
        <v>45095</v>
      </c>
      <c r="E206" s="2">
        <v>45380</v>
      </c>
      <c r="F206" s="2">
        <v>45095</v>
      </c>
      <c r="G206" s="2">
        <v>45380</v>
      </c>
      <c r="H206" s="1" t="s">
        <v>20</v>
      </c>
      <c r="I206" s="1">
        <v>100</v>
      </c>
      <c r="J206" s="1">
        <v>15606130</v>
      </c>
      <c r="L206" s="1" t="s">
        <v>462</v>
      </c>
      <c r="M206" s="1" t="s">
        <v>462</v>
      </c>
      <c r="N206" s="1" t="s">
        <v>22</v>
      </c>
      <c r="O206" s="1">
        <v>1</v>
      </c>
      <c r="P206" s="1" t="b">
        <v>1</v>
      </c>
      <c r="Q206" s="1" t="s">
        <v>29</v>
      </c>
      <c r="R206" s="1">
        <f t="shared" si="11"/>
        <v>0</v>
      </c>
      <c r="T206" s="1">
        <f t="shared" si="12"/>
        <v>0</v>
      </c>
      <c r="U206" s="1">
        <f t="shared" si="13"/>
        <v>0</v>
      </c>
    </row>
    <row r="207" spans="1:21" x14ac:dyDescent="0.25">
      <c r="A207" s="1" t="s">
        <v>463</v>
      </c>
      <c r="B207" s="1" t="s">
        <v>453</v>
      </c>
      <c r="C207" s="1" t="s">
        <v>37</v>
      </c>
      <c r="D207" s="2">
        <v>45380</v>
      </c>
      <c r="E207" s="2">
        <v>45494</v>
      </c>
      <c r="F207" s="2">
        <v>45380</v>
      </c>
      <c r="G207" s="2">
        <v>45494</v>
      </c>
      <c r="H207" s="1" t="s">
        <v>20</v>
      </c>
      <c r="I207" s="1">
        <v>100</v>
      </c>
      <c r="J207" s="1">
        <v>6242452</v>
      </c>
      <c r="L207" s="1" t="s">
        <v>464</v>
      </c>
      <c r="M207" s="1" t="s">
        <v>464</v>
      </c>
      <c r="N207" s="1" t="s">
        <v>22</v>
      </c>
      <c r="O207" s="1">
        <v>1</v>
      </c>
      <c r="P207" s="1" t="b">
        <v>1</v>
      </c>
      <c r="R207" s="1">
        <f t="shared" si="11"/>
        <v>0</v>
      </c>
      <c r="T207" s="1">
        <f t="shared" si="12"/>
        <v>0</v>
      </c>
      <c r="U207" s="1">
        <f t="shared" si="13"/>
        <v>0</v>
      </c>
    </row>
    <row r="208" spans="1:21" x14ac:dyDescent="0.25">
      <c r="A208" s="1" t="s">
        <v>465</v>
      </c>
      <c r="B208" s="1" t="s">
        <v>453</v>
      </c>
      <c r="C208" s="1" t="s">
        <v>41</v>
      </c>
      <c r="D208" s="2">
        <v>45494</v>
      </c>
      <c r="E208" s="2">
        <v>45585</v>
      </c>
      <c r="F208" s="2">
        <v>45494</v>
      </c>
      <c r="G208" s="2">
        <v>45585</v>
      </c>
      <c r="H208" s="1" t="s">
        <v>20</v>
      </c>
      <c r="I208" s="1">
        <v>100</v>
      </c>
      <c r="J208" s="1">
        <v>4993961</v>
      </c>
      <c r="L208" s="1" t="s">
        <v>466</v>
      </c>
      <c r="M208" s="1" t="s">
        <v>466</v>
      </c>
      <c r="N208" s="1" t="s">
        <v>22</v>
      </c>
      <c r="O208" s="1">
        <v>1</v>
      </c>
      <c r="P208" s="1" t="b">
        <v>1</v>
      </c>
      <c r="R208" s="1">
        <f t="shared" si="11"/>
        <v>0</v>
      </c>
      <c r="T208" s="1">
        <f t="shared" si="12"/>
        <v>0</v>
      </c>
      <c r="U208" s="1">
        <f t="shared" si="13"/>
        <v>0</v>
      </c>
    </row>
    <row r="209" spans="1:21" x14ac:dyDescent="0.25">
      <c r="A209" s="1" t="s">
        <v>467</v>
      </c>
      <c r="B209" s="1" t="s">
        <v>453</v>
      </c>
      <c r="C209" s="1" t="s">
        <v>45</v>
      </c>
      <c r="D209" s="2">
        <v>45585</v>
      </c>
      <c r="E209" s="2">
        <v>45699</v>
      </c>
      <c r="F209" s="2">
        <v>45585</v>
      </c>
      <c r="G209" s="2">
        <v>45699</v>
      </c>
      <c r="H209" s="1" t="s">
        <v>20</v>
      </c>
      <c r="I209" s="1">
        <v>100</v>
      </c>
      <c r="J209" s="1">
        <v>6242452</v>
      </c>
      <c r="L209" s="1" t="s">
        <v>468</v>
      </c>
      <c r="M209" s="1" t="s">
        <v>468</v>
      </c>
      <c r="N209" s="1" t="s">
        <v>22</v>
      </c>
      <c r="O209" s="1">
        <v>1</v>
      </c>
      <c r="P209" s="1" t="b">
        <v>1</v>
      </c>
      <c r="R209" s="1">
        <f t="shared" si="11"/>
        <v>0</v>
      </c>
      <c r="T209" s="1">
        <f t="shared" si="12"/>
        <v>0</v>
      </c>
      <c r="U209" s="1">
        <f t="shared" si="13"/>
        <v>0</v>
      </c>
    </row>
    <row r="210" spans="1:21" x14ac:dyDescent="0.25">
      <c r="A210" s="1" t="s">
        <v>469</v>
      </c>
      <c r="B210" s="1" t="s">
        <v>453</v>
      </c>
      <c r="C210" s="1" t="s">
        <v>48</v>
      </c>
      <c r="D210" s="2">
        <v>45699</v>
      </c>
      <c r="E210" s="2">
        <v>45733</v>
      </c>
      <c r="F210" s="2">
        <v>45699</v>
      </c>
      <c r="G210" s="2">
        <v>45733</v>
      </c>
      <c r="H210" s="1" t="s">
        <v>20</v>
      </c>
      <c r="I210" s="1">
        <v>100</v>
      </c>
      <c r="J210" s="1">
        <v>1872735</v>
      </c>
      <c r="L210" s="1" t="s">
        <v>470</v>
      </c>
      <c r="M210" s="1" t="s">
        <v>470</v>
      </c>
      <c r="N210" s="1" t="s">
        <v>22</v>
      </c>
      <c r="O210" s="1">
        <v>1</v>
      </c>
      <c r="P210" s="1" t="b">
        <v>1</v>
      </c>
      <c r="R210" s="1">
        <f t="shared" si="11"/>
        <v>0</v>
      </c>
      <c r="T210" s="1">
        <f t="shared" si="12"/>
        <v>0</v>
      </c>
      <c r="U210" s="1">
        <f t="shared" si="13"/>
        <v>0</v>
      </c>
    </row>
    <row r="211" spans="1:21" x14ac:dyDescent="0.25">
      <c r="A211" s="1" t="s">
        <v>471</v>
      </c>
      <c r="B211" s="1" t="s">
        <v>453</v>
      </c>
      <c r="C211" s="1" t="s">
        <v>51</v>
      </c>
      <c r="D211" s="2">
        <v>45733</v>
      </c>
      <c r="E211" s="2">
        <v>45755</v>
      </c>
      <c r="F211" s="2">
        <v>45733</v>
      </c>
      <c r="G211" s="2">
        <v>45755</v>
      </c>
      <c r="H211" s="1" t="s">
        <v>20</v>
      </c>
      <c r="I211" s="1">
        <v>100</v>
      </c>
      <c r="J211" s="1">
        <v>1248490</v>
      </c>
      <c r="L211" s="1" t="s">
        <v>472</v>
      </c>
      <c r="M211" s="1" t="s">
        <v>472</v>
      </c>
      <c r="N211" s="1" t="s">
        <v>22</v>
      </c>
      <c r="O211" s="1">
        <v>1</v>
      </c>
      <c r="P211" s="1" t="b">
        <v>1</v>
      </c>
      <c r="R211" s="1">
        <f t="shared" si="11"/>
        <v>0</v>
      </c>
      <c r="T211" s="1">
        <f t="shared" si="12"/>
        <v>0</v>
      </c>
      <c r="U211" s="1">
        <f t="shared" si="13"/>
        <v>0</v>
      </c>
    </row>
    <row r="212" spans="1:21" x14ac:dyDescent="0.25">
      <c r="A212" s="1" t="s">
        <v>473</v>
      </c>
      <c r="B212" s="1" t="s">
        <v>474</v>
      </c>
      <c r="C212" s="1" t="s">
        <v>19</v>
      </c>
      <c r="D212" s="2">
        <v>44798</v>
      </c>
      <c r="E212" s="2">
        <v>44826</v>
      </c>
      <c r="F212" s="2">
        <v>44798</v>
      </c>
      <c r="G212" s="2">
        <v>44826</v>
      </c>
      <c r="H212" s="1" t="s">
        <v>20</v>
      </c>
      <c r="I212" s="1">
        <v>100</v>
      </c>
      <c r="J212" s="1">
        <v>20977114</v>
      </c>
      <c r="L212" s="1" t="s">
        <v>475</v>
      </c>
      <c r="M212" s="1" t="s">
        <v>475</v>
      </c>
      <c r="N212" s="1" t="s">
        <v>22</v>
      </c>
      <c r="O212" s="1">
        <v>1</v>
      </c>
      <c r="P212" s="1" t="b">
        <v>1</v>
      </c>
      <c r="R212" s="1">
        <f t="shared" si="11"/>
        <v>0</v>
      </c>
      <c r="T212" s="1">
        <f t="shared" si="12"/>
        <v>0</v>
      </c>
      <c r="U212" s="1">
        <f t="shared" si="13"/>
        <v>0</v>
      </c>
    </row>
    <row r="213" spans="1:21" x14ac:dyDescent="0.25">
      <c r="A213" s="1" t="s">
        <v>476</v>
      </c>
      <c r="B213" s="1" t="s">
        <v>474</v>
      </c>
      <c r="C213" s="1" t="s">
        <v>24</v>
      </c>
      <c r="D213" s="2">
        <v>44826</v>
      </c>
      <c r="E213" s="2">
        <v>44883</v>
      </c>
      <c r="F213" s="2">
        <v>44826</v>
      </c>
      <c r="G213" s="2">
        <v>44883</v>
      </c>
      <c r="H213" s="1" t="s">
        <v>20</v>
      </c>
      <c r="I213" s="1">
        <v>100</v>
      </c>
      <c r="J213" s="1">
        <v>41954228</v>
      </c>
      <c r="L213" s="1" t="s">
        <v>477</v>
      </c>
      <c r="M213" s="1" t="s">
        <v>477</v>
      </c>
      <c r="N213" s="1" t="s">
        <v>22</v>
      </c>
      <c r="O213" s="1">
        <v>1</v>
      </c>
      <c r="P213" s="1" t="b">
        <v>1</v>
      </c>
      <c r="R213" s="1">
        <f t="shared" si="11"/>
        <v>0</v>
      </c>
      <c r="T213" s="1">
        <f t="shared" si="12"/>
        <v>0</v>
      </c>
      <c r="U213" s="1">
        <f t="shared" si="13"/>
        <v>0</v>
      </c>
    </row>
    <row r="214" spans="1:21" x14ac:dyDescent="0.25">
      <c r="A214" s="1" t="s">
        <v>478</v>
      </c>
      <c r="B214" s="1" t="s">
        <v>474</v>
      </c>
      <c r="C214" s="1" t="s">
        <v>27</v>
      </c>
      <c r="D214" s="2">
        <v>44883</v>
      </c>
      <c r="E214" s="2">
        <v>44951</v>
      </c>
      <c r="F214" s="2">
        <v>44883</v>
      </c>
      <c r="G214" s="2">
        <v>44951</v>
      </c>
      <c r="H214" s="1" t="s">
        <v>20</v>
      </c>
      <c r="I214" s="1">
        <v>100</v>
      </c>
      <c r="J214" s="1">
        <v>50345073</v>
      </c>
      <c r="L214" s="1" t="s">
        <v>479</v>
      </c>
      <c r="M214" s="1" t="s">
        <v>479</v>
      </c>
      <c r="N214" s="1" t="s">
        <v>22</v>
      </c>
      <c r="O214" s="1">
        <v>1</v>
      </c>
      <c r="P214" s="1" t="b">
        <v>1</v>
      </c>
      <c r="Q214" s="1" t="s">
        <v>29</v>
      </c>
      <c r="R214" s="1">
        <f t="shared" si="11"/>
        <v>0</v>
      </c>
      <c r="T214" s="1">
        <f t="shared" si="12"/>
        <v>0</v>
      </c>
      <c r="U214" s="1">
        <f t="shared" si="13"/>
        <v>0</v>
      </c>
    </row>
    <row r="215" spans="1:21" x14ac:dyDescent="0.25">
      <c r="A215" s="1" t="s">
        <v>480</v>
      </c>
      <c r="B215" s="1" t="s">
        <v>474</v>
      </c>
      <c r="C215" s="1" t="s">
        <v>31</v>
      </c>
      <c r="D215" s="2">
        <v>44951</v>
      </c>
      <c r="E215" s="2">
        <v>45036</v>
      </c>
      <c r="F215" s="2">
        <v>44951</v>
      </c>
      <c r="G215" s="2">
        <v>45036</v>
      </c>
      <c r="H215" s="1" t="s">
        <v>20</v>
      </c>
      <c r="I215" s="1">
        <v>100</v>
      </c>
      <c r="J215" s="1">
        <v>62931342</v>
      </c>
      <c r="L215" s="1" t="s">
        <v>481</v>
      </c>
      <c r="M215" s="1" t="s">
        <v>481</v>
      </c>
      <c r="N215" s="1" t="s">
        <v>22</v>
      </c>
      <c r="O215" s="1">
        <v>1</v>
      </c>
      <c r="P215" s="1" t="b">
        <v>1</v>
      </c>
      <c r="R215" s="1">
        <f t="shared" si="11"/>
        <v>0</v>
      </c>
      <c r="T215" s="1">
        <f t="shared" si="12"/>
        <v>0</v>
      </c>
      <c r="U215" s="1">
        <f t="shared" si="13"/>
        <v>0</v>
      </c>
    </row>
    <row r="216" spans="1:21" x14ac:dyDescent="0.25">
      <c r="A216" s="1" t="s">
        <v>482</v>
      </c>
      <c r="B216" s="1" t="s">
        <v>474</v>
      </c>
      <c r="C216" s="1" t="s">
        <v>34</v>
      </c>
      <c r="D216" s="2">
        <v>45036</v>
      </c>
      <c r="E216" s="2">
        <v>45178</v>
      </c>
      <c r="F216" s="2">
        <v>45036</v>
      </c>
      <c r="G216" s="2">
        <v>45178</v>
      </c>
      <c r="H216" s="1" t="s">
        <v>20</v>
      </c>
      <c r="I216" s="1">
        <v>100</v>
      </c>
      <c r="J216" s="1">
        <v>104885570</v>
      </c>
      <c r="L216" s="1" t="s">
        <v>483</v>
      </c>
      <c r="M216" s="1" t="s">
        <v>483</v>
      </c>
      <c r="N216" s="1" t="s">
        <v>22</v>
      </c>
      <c r="O216" s="1">
        <v>1</v>
      </c>
      <c r="P216" s="1" t="b">
        <v>1</v>
      </c>
      <c r="Q216" s="1" t="s">
        <v>29</v>
      </c>
      <c r="R216" s="1">
        <f t="shared" si="11"/>
        <v>0</v>
      </c>
      <c r="T216" s="1">
        <f t="shared" si="12"/>
        <v>0</v>
      </c>
      <c r="U216" s="1">
        <f t="shared" si="13"/>
        <v>0</v>
      </c>
    </row>
    <row r="217" spans="1:21" x14ac:dyDescent="0.25">
      <c r="A217" s="1" t="s">
        <v>484</v>
      </c>
      <c r="B217" s="1" t="s">
        <v>474</v>
      </c>
      <c r="C217" s="1" t="s">
        <v>37</v>
      </c>
      <c r="D217" s="2">
        <v>45178</v>
      </c>
      <c r="E217" s="2">
        <v>45235</v>
      </c>
      <c r="F217" s="2">
        <v>45178</v>
      </c>
      <c r="G217" s="2">
        <v>45235</v>
      </c>
      <c r="H217" s="1" t="s">
        <v>20</v>
      </c>
      <c r="I217" s="1">
        <v>100</v>
      </c>
      <c r="J217" s="1">
        <v>41954228</v>
      </c>
      <c r="L217" s="1" t="s">
        <v>485</v>
      </c>
      <c r="M217" s="1" t="s">
        <v>485</v>
      </c>
      <c r="N217" s="1" t="s">
        <v>22</v>
      </c>
      <c r="O217" s="1">
        <v>1</v>
      </c>
      <c r="P217" s="1" t="b">
        <v>1</v>
      </c>
      <c r="R217" s="1">
        <f t="shared" si="11"/>
        <v>0</v>
      </c>
      <c r="T217" s="1">
        <f t="shared" si="12"/>
        <v>0</v>
      </c>
      <c r="U217" s="1">
        <f t="shared" si="13"/>
        <v>0</v>
      </c>
    </row>
    <row r="218" spans="1:21" x14ac:dyDescent="0.25">
      <c r="A218" s="1" t="s">
        <v>486</v>
      </c>
      <c r="B218" s="1" t="s">
        <v>474</v>
      </c>
      <c r="C218" s="1" t="s">
        <v>41</v>
      </c>
      <c r="D218" s="2">
        <v>45235</v>
      </c>
      <c r="E218" s="2">
        <v>45280</v>
      </c>
      <c r="F218" s="2">
        <v>45235</v>
      </c>
      <c r="G218" s="2">
        <v>45280</v>
      </c>
      <c r="H218" s="1" t="s">
        <v>20</v>
      </c>
      <c r="I218" s="1">
        <v>100</v>
      </c>
      <c r="J218" s="1">
        <v>33563382</v>
      </c>
      <c r="L218" s="1" t="s">
        <v>487</v>
      </c>
      <c r="M218" s="1" t="s">
        <v>487</v>
      </c>
      <c r="N218" s="1" t="s">
        <v>22</v>
      </c>
      <c r="O218" s="1">
        <v>1</v>
      </c>
      <c r="P218" s="1" t="b">
        <v>1</v>
      </c>
      <c r="R218" s="1">
        <f t="shared" si="11"/>
        <v>0</v>
      </c>
      <c r="T218" s="1">
        <f t="shared" si="12"/>
        <v>0</v>
      </c>
      <c r="U218" s="1">
        <f t="shared" si="13"/>
        <v>0</v>
      </c>
    </row>
    <row r="219" spans="1:21" x14ac:dyDescent="0.25">
      <c r="A219" s="1" t="s">
        <v>488</v>
      </c>
      <c r="B219" s="1" t="s">
        <v>474</v>
      </c>
      <c r="C219" s="1" t="s">
        <v>45</v>
      </c>
      <c r="D219" s="2">
        <v>45280</v>
      </c>
      <c r="E219" s="2">
        <v>45337</v>
      </c>
      <c r="F219" s="2">
        <v>45280</v>
      </c>
      <c r="G219" s="2">
        <v>45337</v>
      </c>
      <c r="H219" s="1" t="s">
        <v>20</v>
      </c>
      <c r="I219" s="1">
        <v>100</v>
      </c>
      <c r="J219" s="1">
        <v>41954228</v>
      </c>
      <c r="L219" s="1" t="s">
        <v>489</v>
      </c>
      <c r="M219" s="1" t="s">
        <v>489</v>
      </c>
      <c r="N219" s="1" t="s">
        <v>22</v>
      </c>
      <c r="O219" s="1">
        <v>1</v>
      </c>
      <c r="P219" s="1" t="b">
        <v>1</v>
      </c>
      <c r="R219" s="1">
        <f t="shared" si="11"/>
        <v>0</v>
      </c>
      <c r="T219" s="1">
        <f t="shared" si="12"/>
        <v>0</v>
      </c>
      <c r="U219" s="1">
        <f t="shared" si="13"/>
        <v>0</v>
      </c>
    </row>
    <row r="220" spans="1:21" x14ac:dyDescent="0.25">
      <c r="A220" s="1" t="s">
        <v>490</v>
      </c>
      <c r="B220" s="1" t="s">
        <v>474</v>
      </c>
      <c r="C220" s="1" t="s">
        <v>48</v>
      </c>
      <c r="D220" s="2">
        <v>45337</v>
      </c>
      <c r="E220" s="2">
        <v>45354</v>
      </c>
      <c r="F220" s="2">
        <v>45337</v>
      </c>
      <c r="G220" s="2">
        <v>45354</v>
      </c>
      <c r="H220" s="1" t="s">
        <v>20</v>
      </c>
      <c r="I220" s="1">
        <v>100</v>
      </c>
      <c r="J220" s="1">
        <v>12586268</v>
      </c>
      <c r="L220" s="1" t="s">
        <v>491</v>
      </c>
      <c r="M220" s="1" t="s">
        <v>491</v>
      </c>
      <c r="N220" s="1" t="s">
        <v>22</v>
      </c>
      <c r="O220" s="1">
        <v>1</v>
      </c>
      <c r="P220" s="1" t="b">
        <v>1</v>
      </c>
      <c r="R220" s="1">
        <f t="shared" si="11"/>
        <v>0</v>
      </c>
      <c r="T220" s="1">
        <f t="shared" si="12"/>
        <v>0</v>
      </c>
      <c r="U220" s="1">
        <f t="shared" si="13"/>
        <v>0</v>
      </c>
    </row>
    <row r="221" spans="1:21" x14ac:dyDescent="0.25">
      <c r="A221" s="1" t="s">
        <v>492</v>
      </c>
      <c r="B221" s="1" t="s">
        <v>474</v>
      </c>
      <c r="C221" s="1" t="s">
        <v>51</v>
      </c>
      <c r="D221" s="2">
        <v>45354</v>
      </c>
      <c r="E221" s="2">
        <v>45365</v>
      </c>
      <c r="F221" s="2">
        <v>45354</v>
      </c>
      <c r="G221" s="2">
        <v>45365</v>
      </c>
      <c r="H221" s="1" t="s">
        <v>20</v>
      </c>
      <c r="I221" s="1">
        <v>100</v>
      </c>
      <c r="J221" s="1">
        <v>8390845</v>
      </c>
      <c r="L221" s="1" t="s">
        <v>493</v>
      </c>
      <c r="M221" s="1" t="s">
        <v>493</v>
      </c>
      <c r="N221" s="1" t="s">
        <v>22</v>
      </c>
      <c r="O221" s="1">
        <v>1</v>
      </c>
      <c r="P221" s="1" t="b">
        <v>1</v>
      </c>
      <c r="R221" s="1">
        <f t="shared" si="11"/>
        <v>0</v>
      </c>
      <c r="T221" s="1">
        <f t="shared" si="12"/>
        <v>0</v>
      </c>
      <c r="U221" s="1">
        <f t="shared" si="13"/>
        <v>0</v>
      </c>
    </row>
    <row r="222" spans="1:21" x14ac:dyDescent="0.25">
      <c r="A222" s="1" t="s">
        <v>494</v>
      </c>
      <c r="B222" s="1" t="s">
        <v>495</v>
      </c>
      <c r="C222" s="1" t="s">
        <v>19</v>
      </c>
      <c r="D222" s="2">
        <v>45138</v>
      </c>
      <c r="E222" s="2">
        <v>45204</v>
      </c>
      <c r="F222" s="2">
        <v>45138</v>
      </c>
      <c r="G222" s="2">
        <v>45204</v>
      </c>
      <c r="H222" s="1" t="s">
        <v>20</v>
      </c>
      <c r="I222" s="1">
        <v>100</v>
      </c>
      <c r="J222" s="1">
        <v>21216996</v>
      </c>
      <c r="L222" s="1" t="s">
        <v>496</v>
      </c>
      <c r="M222" s="1" t="s">
        <v>496</v>
      </c>
      <c r="N222" s="1" t="s">
        <v>22</v>
      </c>
      <c r="O222" s="1">
        <v>1</v>
      </c>
      <c r="P222" s="1" t="b">
        <v>1</v>
      </c>
      <c r="R222" s="1">
        <f t="shared" si="11"/>
        <v>0</v>
      </c>
      <c r="T222" s="1">
        <f t="shared" si="12"/>
        <v>0</v>
      </c>
      <c r="U222" s="1">
        <f t="shared" si="13"/>
        <v>0</v>
      </c>
    </row>
    <row r="223" spans="1:21" x14ac:dyDescent="0.25">
      <c r="A223" s="1" t="s">
        <v>497</v>
      </c>
      <c r="B223" s="1" t="s">
        <v>495</v>
      </c>
      <c r="C223" s="1" t="s">
        <v>24</v>
      </c>
      <c r="D223" s="2">
        <v>45204</v>
      </c>
      <c r="E223" s="2">
        <v>45336</v>
      </c>
      <c r="F223" s="2">
        <v>45204</v>
      </c>
      <c r="G223" s="2">
        <v>45336</v>
      </c>
      <c r="H223" s="1" t="s">
        <v>20</v>
      </c>
      <c r="I223" s="1">
        <v>100</v>
      </c>
      <c r="J223" s="1">
        <v>42433993</v>
      </c>
      <c r="L223" s="1" t="s">
        <v>498</v>
      </c>
      <c r="M223" s="1" t="s">
        <v>498</v>
      </c>
      <c r="N223" s="1" t="s">
        <v>22</v>
      </c>
      <c r="O223" s="1">
        <v>1</v>
      </c>
      <c r="P223" s="1" t="b">
        <v>1</v>
      </c>
      <c r="R223" s="1">
        <f t="shared" si="11"/>
        <v>0</v>
      </c>
      <c r="T223" s="1">
        <f t="shared" si="12"/>
        <v>0</v>
      </c>
      <c r="U223" s="1">
        <f t="shared" si="13"/>
        <v>0</v>
      </c>
    </row>
    <row r="224" spans="1:21" x14ac:dyDescent="0.25">
      <c r="A224" s="1" t="s">
        <v>499</v>
      </c>
      <c r="B224" s="1" t="s">
        <v>495</v>
      </c>
      <c r="C224" s="1" t="s">
        <v>27</v>
      </c>
      <c r="D224" s="2">
        <v>45336</v>
      </c>
      <c r="E224" s="2">
        <v>45494</v>
      </c>
      <c r="F224" s="2">
        <v>45336</v>
      </c>
      <c r="G224" s="2">
        <v>45494</v>
      </c>
      <c r="H224" s="1" t="s">
        <v>20</v>
      </c>
      <c r="I224" s="1">
        <v>100</v>
      </c>
      <c r="J224" s="1">
        <v>50920792</v>
      </c>
      <c r="L224" s="1" t="s">
        <v>500</v>
      </c>
      <c r="M224" s="1" t="s">
        <v>500</v>
      </c>
      <c r="N224" s="1" t="s">
        <v>22</v>
      </c>
      <c r="O224" s="1">
        <v>1</v>
      </c>
      <c r="P224" s="1" t="b">
        <v>1</v>
      </c>
      <c r="Q224" s="1" t="s">
        <v>29</v>
      </c>
      <c r="R224" s="1">
        <f t="shared" si="11"/>
        <v>0</v>
      </c>
      <c r="T224" s="1">
        <f t="shared" si="12"/>
        <v>0</v>
      </c>
      <c r="U224" s="1">
        <f t="shared" si="13"/>
        <v>0</v>
      </c>
    </row>
    <row r="225" spans="1:21" x14ac:dyDescent="0.25">
      <c r="A225" s="1" t="s">
        <v>501</v>
      </c>
      <c r="B225" s="1" t="s">
        <v>495</v>
      </c>
      <c r="C225" s="1" t="s">
        <v>31</v>
      </c>
      <c r="D225" s="2">
        <v>45494</v>
      </c>
      <c r="E225" s="2">
        <v>45692</v>
      </c>
      <c r="F225" s="2">
        <v>45494</v>
      </c>
      <c r="G225" s="2">
        <v>45692</v>
      </c>
      <c r="H225" s="1" t="s">
        <v>20</v>
      </c>
      <c r="I225" s="1">
        <v>100</v>
      </c>
      <c r="J225" s="1">
        <v>63650990</v>
      </c>
      <c r="L225" s="1" t="s">
        <v>502</v>
      </c>
      <c r="M225" s="1" t="s">
        <v>502</v>
      </c>
      <c r="N225" s="1" t="s">
        <v>22</v>
      </c>
      <c r="O225" s="1">
        <v>1</v>
      </c>
      <c r="P225" s="1" t="b">
        <v>1</v>
      </c>
      <c r="R225" s="1">
        <f t="shared" si="11"/>
        <v>0</v>
      </c>
      <c r="T225" s="1">
        <f t="shared" si="12"/>
        <v>0</v>
      </c>
      <c r="U225" s="1">
        <f t="shared" si="13"/>
        <v>0</v>
      </c>
    </row>
    <row r="226" spans="1:21" x14ac:dyDescent="0.25">
      <c r="A226" s="1" t="s">
        <v>503</v>
      </c>
      <c r="B226" s="1" t="s">
        <v>495</v>
      </c>
      <c r="C226" s="1" t="s">
        <v>34</v>
      </c>
      <c r="D226" s="2">
        <v>45692</v>
      </c>
      <c r="E226" s="2">
        <v>46022</v>
      </c>
      <c r="F226" s="2">
        <v>45692</v>
      </c>
      <c r="G226" s="2">
        <v>46022</v>
      </c>
      <c r="H226" s="1" t="s">
        <v>20</v>
      </c>
      <c r="I226" s="1">
        <v>100</v>
      </c>
      <c r="J226" s="1">
        <v>106084983</v>
      </c>
      <c r="L226" s="1" t="s">
        <v>504</v>
      </c>
      <c r="M226" s="1" t="s">
        <v>504</v>
      </c>
      <c r="N226" s="1" t="s">
        <v>22</v>
      </c>
      <c r="O226" s="1">
        <v>1</v>
      </c>
      <c r="P226" s="1" t="b">
        <v>1</v>
      </c>
      <c r="Q226" s="1" t="s">
        <v>29</v>
      </c>
      <c r="R226" s="1">
        <f t="shared" si="11"/>
        <v>0</v>
      </c>
      <c r="T226" s="1">
        <f t="shared" si="12"/>
        <v>0</v>
      </c>
      <c r="U226" s="1">
        <f t="shared" si="13"/>
        <v>0</v>
      </c>
    </row>
    <row r="227" spans="1:21" x14ac:dyDescent="0.25">
      <c r="A227" s="1" t="s">
        <v>505</v>
      </c>
      <c r="B227" s="1" t="s">
        <v>495</v>
      </c>
      <c r="C227" s="1" t="s">
        <v>37</v>
      </c>
      <c r="D227" s="2">
        <v>46022</v>
      </c>
      <c r="E227" s="2">
        <v>46154</v>
      </c>
      <c r="F227" s="2">
        <v>46022</v>
      </c>
      <c r="H227" s="1" t="s">
        <v>38</v>
      </c>
      <c r="I227" s="1">
        <v>31</v>
      </c>
      <c r="J227" s="1">
        <v>42433993</v>
      </c>
      <c r="L227" s="1" t="s">
        <v>506</v>
      </c>
      <c r="M227" s="1" t="s">
        <v>506</v>
      </c>
      <c r="N227" s="1" t="s">
        <v>22</v>
      </c>
      <c r="O227" s="1">
        <v>1</v>
      </c>
      <c r="P227" s="1" t="b">
        <v>1</v>
      </c>
      <c r="S227" s="1">
        <f>R$7-E227</f>
        <v>140</v>
      </c>
      <c r="T227" s="1">
        <f t="shared" si="12"/>
        <v>1</v>
      </c>
      <c r="U227" s="1">
        <f t="shared" si="13"/>
        <v>140</v>
      </c>
    </row>
    <row r="228" spans="1:21" x14ac:dyDescent="0.25">
      <c r="A228" s="1" t="s">
        <v>507</v>
      </c>
      <c r="B228" s="1" t="s">
        <v>495</v>
      </c>
      <c r="C228" s="1" t="s">
        <v>41</v>
      </c>
      <c r="D228" s="2">
        <v>46154</v>
      </c>
      <c r="E228" s="2">
        <v>46259</v>
      </c>
      <c r="H228" s="1" t="s">
        <v>42</v>
      </c>
      <c r="I228" s="1">
        <v>0</v>
      </c>
      <c r="J228" s="1">
        <v>33947194</v>
      </c>
      <c r="L228" s="1" t="s">
        <v>508</v>
      </c>
      <c r="M228" s="1" t="s">
        <v>508</v>
      </c>
      <c r="N228" s="1" t="s">
        <v>22</v>
      </c>
      <c r="O228" s="1">
        <v>1</v>
      </c>
      <c r="P228" s="1" t="b">
        <v>1</v>
      </c>
      <c r="S228" s="1">
        <f>R$7-E228</f>
        <v>35</v>
      </c>
      <c r="T228" s="1">
        <f t="shared" si="12"/>
        <v>1</v>
      </c>
      <c r="U228" s="1">
        <f t="shared" si="13"/>
        <v>35</v>
      </c>
    </row>
    <row r="229" spans="1:21" x14ac:dyDescent="0.25">
      <c r="A229" s="1" t="s">
        <v>509</v>
      </c>
      <c r="B229" s="1" t="s">
        <v>495</v>
      </c>
      <c r="C229" s="1" t="s">
        <v>45</v>
      </c>
      <c r="D229" s="2">
        <v>46259</v>
      </c>
      <c r="E229" s="2">
        <v>46391</v>
      </c>
      <c r="H229" s="1" t="s">
        <v>42</v>
      </c>
      <c r="I229" s="1">
        <v>0</v>
      </c>
      <c r="J229" s="1">
        <v>42433993</v>
      </c>
      <c r="L229" s="1" t="s">
        <v>510</v>
      </c>
      <c r="M229" s="1" t="s">
        <v>510</v>
      </c>
      <c r="N229" s="1" t="s">
        <v>22</v>
      </c>
      <c r="O229" s="1">
        <v>1</v>
      </c>
      <c r="P229" s="1" t="b">
        <v>1</v>
      </c>
      <c r="S229" s="1">
        <f>R$7-E229</f>
        <v>-97</v>
      </c>
      <c r="T229" s="1">
        <f t="shared" si="12"/>
        <v>0</v>
      </c>
      <c r="U229" s="1">
        <f t="shared" si="13"/>
        <v>0</v>
      </c>
    </row>
    <row r="230" spans="1:21" x14ac:dyDescent="0.25">
      <c r="A230" s="1" t="s">
        <v>511</v>
      </c>
      <c r="B230" s="1" t="s">
        <v>495</v>
      </c>
      <c r="C230" s="1" t="s">
        <v>48</v>
      </c>
      <c r="D230" s="2">
        <v>46391</v>
      </c>
      <c r="E230" s="2">
        <v>46430</v>
      </c>
      <c r="H230" s="1" t="s">
        <v>42</v>
      </c>
      <c r="I230" s="1">
        <v>0</v>
      </c>
      <c r="J230" s="1">
        <v>12730198</v>
      </c>
      <c r="L230" s="1" t="s">
        <v>512</v>
      </c>
      <c r="M230" s="1" t="s">
        <v>512</v>
      </c>
      <c r="N230" s="1" t="s">
        <v>22</v>
      </c>
      <c r="O230" s="1">
        <v>1</v>
      </c>
      <c r="P230" s="1" t="b">
        <v>1</v>
      </c>
      <c r="S230" s="1">
        <f>R$7-E230</f>
        <v>-136</v>
      </c>
      <c r="T230" s="1">
        <f t="shared" si="12"/>
        <v>0</v>
      </c>
      <c r="U230" s="1">
        <f t="shared" si="13"/>
        <v>0</v>
      </c>
    </row>
    <row r="231" spans="1:21" x14ac:dyDescent="0.25">
      <c r="A231" s="1" t="s">
        <v>513</v>
      </c>
      <c r="B231" s="1" t="s">
        <v>495</v>
      </c>
      <c r="C231" s="1" t="s">
        <v>51</v>
      </c>
      <c r="D231" s="2">
        <v>46430</v>
      </c>
      <c r="E231" s="2">
        <v>46456</v>
      </c>
      <c r="H231" s="1" t="s">
        <v>42</v>
      </c>
      <c r="I231" s="1">
        <v>0</v>
      </c>
      <c r="J231" s="1">
        <v>8486798</v>
      </c>
      <c r="L231" s="1" t="s">
        <v>514</v>
      </c>
      <c r="M231" s="1" t="s">
        <v>514</v>
      </c>
      <c r="N231" s="1" t="s">
        <v>22</v>
      </c>
      <c r="O231" s="1">
        <v>1</v>
      </c>
      <c r="P231" s="1" t="b">
        <v>1</v>
      </c>
      <c r="S231" s="1">
        <f>R$7-E231</f>
        <v>-162</v>
      </c>
      <c r="T231" s="1">
        <f t="shared" si="12"/>
        <v>0</v>
      </c>
      <c r="U231" s="1">
        <f t="shared" si="13"/>
        <v>0</v>
      </c>
    </row>
    <row r="232" spans="1:21" x14ac:dyDescent="0.25">
      <c r="A232" s="1" t="s">
        <v>515</v>
      </c>
      <c r="B232" s="1" t="s">
        <v>516</v>
      </c>
      <c r="C232" s="1" t="s">
        <v>19</v>
      </c>
      <c r="D232" s="2">
        <v>44011</v>
      </c>
      <c r="E232" s="2">
        <v>44071</v>
      </c>
      <c r="F232" s="2">
        <v>44011</v>
      </c>
      <c r="G232" s="2">
        <v>44071</v>
      </c>
      <c r="H232" s="1" t="s">
        <v>20</v>
      </c>
      <c r="I232" s="1">
        <v>100</v>
      </c>
      <c r="J232" s="1">
        <v>21853600</v>
      </c>
      <c r="L232" s="1" t="s">
        <v>517</v>
      </c>
      <c r="M232" s="1" t="s">
        <v>517</v>
      </c>
      <c r="N232" s="1" t="s">
        <v>22</v>
      </c>
      <c r="O232" s="1">
        <v>1</v>
      </c>
      <c r="P232" s="1" t="b">
        <v>1</v>
      </c>
      <c r="R232" s="1">
        <f t="shared" ref="R232:R263" si="14">G232-E232</f>
        <v>0</v>
      </c>
      <c r="T232" s="1">
        <f t="shared" si="12"/>
        <v>0</v>
      </c>
      <c r="U232" s="1">
        <f t="shared" si="13"/>
        <v>0</v>
      </c>
    </row>
    <row r="233" spans="1:21" x14ac:dyDescent="0.25">
      <c r="A233" s="1" t="s">
        <v>518</v>
      </c>
      <c r="B233" s="1" t="s">
        <v>516</v>
      </c>
      <c r="C233" s="1" t="s">
        <v>24</v>
      </c>
      <c r="D233" s="2">
        <v>44071</v>
      </c>
      <c r="E233" s="2">
        <v>44191</v>
      </c>
      <c r="F233" s="2">
        <v>44071</v>
      </c>
      <c r="G233" s="2">
        <v>44191</v>
      </c>
      <c r="H233" s="1" t="s">
        <v>20</v>
      </c>
      <c r="I233" s="1">
        <v>100</v>
      </c>
      <c r="J233" s="1">
        <v>43707201</v>
      </c>
      <c r="L233" s="1" t="s">
        <v>519</v>
      </c>
      <c r="M233" s="1" t="s">
        <v>519</v>
      </c>
      <c r="N233" s="1" t="s">
        <v>22</v>
      </c>
      <c r="O233" s="1">
        <v>1</v>
      </c>
      <c r="P233" s="1" t="b">
        <v>1</v>
      </c>
      <c r="R233" s="1">
        <f t="shared" si="14"/>
        <v>0</v>
      </c>
      <c r="T233" s="1">
        <f t="shared" si="12"/>
        <v>0</v>
      </c>
      <c r="U233" s="1">
        <f t="shared" si="13"/>
        <v>0</v>
      </c>
    </row>
    <row r="234" spans="1:21" x14ac:dyDescent="0.25">
      <c r="A234" s="1" t="s">
        <v>520</v>
      </c>
      <c r="B234" s="1" t="s">
        <v>516</v>
      </c>
      <c r="C234" s="1" t="s">
        <v>27</v>
      </c>
      <c r="D234" s="2">
        <v>44191</v>
      </c>
      <c r="E234" s="2">
        <v>44335</v>
      </c>
      <c r="F234" s="2">
        <v>44191</v>
      </c>
      <c r="G234" s="2">
        <v>44335</v>
      </c>
      <c r="H234" s="1" t="s">
        <v>20</v>
      </c>
      <c r="I234" s="1">
        <v>100</v>
      </c>
      <c r="J234" s="1">
        <v>52448641</v>
      </c>
      <c r="L234" s="1" t="s">
        <v>521</v>
      </c>
      <c r="M234" s="1" t="s">
        <v>521</v>
      </c>
      <c r="N234" s="1" t="s">
        <v>22</v>
      </c>
      <c r="O234" s="1">
        <v>1</v>
      </c>
      <c r="P234" s="1" t="b">
        <v>1</v>
      </c>
      <c r="Q234" s="1" t="s">
        <v>29</v>
      </c>
      <c r="R234" s="1">
        <f t="shared" si="14"/>
        <v>0</v>
      </c>
      <c r="T234" s="1">
        <f t="shared" si="12"/>
        <v>0</v>
      </c>
      <c r="U234" s="1">
        <f t="shared" si="13"/>
        <v>0</v>
      </c>
    </row>
    <row r="235" spans="1:21" x14ac:dyDescent="0.25">
      <c r="A235" s="1" t="s">
        <v>522</v>
      </c>
      <c r="B235" s="1" t="s">
        <v>516</v>
      </c>
      <c r="C235" s="1" t="s">
        <v>31</v>
      </c>
      <c r="D235" s="2">
        <v>44335</v>
      </c>
      <c r="E235" s="2">
        <v>44515</v>
      </c>
      <c r="F235" s="2">
        <v>44335</v>
      </c>
      <c r="G235" s="2">
        <v>44515</v>
      </c>
      <c r="H235" s="1" t="s">
        <v>20</v>
      </c>
      <c r="I235" s="1">
        <v>100</v>
      </c>
      <c r="J235" s="1">
        <v>65560801</v>
      </c>
      <c r="L235" s="1" t="s">
        <v>523</v>
      </c>
      <c r="M235" s="1" t="s">
        <v>523</v>
      </c>
      <c r="N235" s="1" t="s">
        <v>22</v>
      </c>
      <c r="O235" s="1">
        <v>1</v>
      </c>
      <c r="P235" s="1" t="b">
        <v>1</v>
      </c>
      <c r="R235" s="1">
        <f t="shared" si="14"/>
        <v>0</v>
      </c>
      <c r="T235" s="1">
        <f t="shared" si="12"/>
        <v>0</v>
      </c>
      <c r="U235" s="1">
        <f t="shared" si="13"/>
        <v>0</v>
      </c>
    </row>
    <row r="236" spans="1:21" x14ac:dyDescent="0.25">
      <c r="A236" s="1" t="s">
        <v>524</v>
      </c>
      <c r="B236" s="1" t="s">
        <v>516</v>
      </c>
      <c r="C236" s="1" t="s">
        <v>34</v>
      </c>
      <c r="D236" s="2">
        <v>44515</v>
      </c>
      <c r="E236" s="2">
        <v>44815</v>
      </c>
      <c r="F236" s="2">
        <v>44515</v>
      </c>
      <c r="G236" s="2">
        <v>44815</v>
      </c>
      <c r="H236" s="1" t="s">
        <v>20</v>
      </c>
      <c r="I236" s="1">
        <v>100</v>
      </c>
      <c r="J236" s="1">
        <v>109268002</v>
      </c>
      <c r="L236" s="1" t="s">
        <v>525</v>
      </c>
      <c r="M236" s="1" t="s">
        <v>525</v>
      </c>
      <c r="N236" s="1" t="s">
        <v>22</v>
      </c>
      <c r="O236" s="1">
        <v>1</v>
      </c>
      <c r="P236" s="1" t="b">
        <v>1</v>
      </c>
      <c r="Q236" s="1" t="s">
        <v>29</v>
      </c>
      <c r="R236" s="1">
        <f t="shared" si="14"/>
        <v>0</v>
      </c>
      <c r="T236" s="1">
        <f t="shared" si="12"/>
        <v>0</v>
      </c>
      <c r="U236" s="1">
        <f t="shared" si="13"/>
        <v>0</v>
      </c>
    </row>
    <row r="237" spans="1:21" x14ac:dyDescent="0.25">
      <c r="A237" s="1" t="s">
        <v>526</v>
      </c>
      <c r="B237" s="1" t="s">
        <v>516</v>
      </c>
      <c r="C237" s="1" t="s">
        <v>37</v>
      </c>
      <c r="D237" s="2">
        <v>44815</v>
      </c>
      <c r="E237" s="2">
        <v>44935</v>
      </c>
      <c r="F237" s="2">
        <v>44815</v>
      </c>
      <c r="G237" s="2">
        <v>44935</v>
      </c>
      <c r="H237" s="1" t="s">
        <v>20</v>
      </c>
      <c r="I237" s="1">
        <v>100</v>
      </c>
      <c r="J237" s="1">
        <v>43707201</v>
      </c>
      <c r="L237" s="1" t="s">
        <v>527</v>
      </c>
      <c r="M237" s="1" t="s">
        <v>527</v>
      </c>
      <c r="N237" s="1" t="s">
        <v>22</v>
      </c>
      <c r="O237" s="1">
        <v>1</v>
      </c>
      <c r="P237" s="1" t="b">
        <v>1</v>
      </c>
      <c r="R237" s="1">
        <f t="shared" si="14"/>
        <v>0</v>
      </c>
      <c r="T237" s="1">
        <f t="shared" si="12"/>
        <v>0</v>
      </c>
      <c r="U237" s="1">
        <f t="shared" si="13"/>
        <v>0</v>
      </c>
    </row>
    <row r="238" spans="1:21" x14ac:dyDescent="0.25">
      <c r="A238" s="1" t="s">
        <v>528</v>
      </c>
      <c r="B238" s="1" t="s">
        <v>516</v>
      </c>
      <c r="C238" s="1" t="s">
        <v>41</v>
      </c>
      <c r="D238" s="2">
        <v>44935</v>
      </c>
      <c r="E238" s="2">
        <v>45031</v>
      </c>
      <c r="F238" s="2">
        <v>44935</v>
      </c>
      <c r="G238" s="2">
        <v>45031</v>
      </c>
      <c r="H238" s="1" t="s">
        <v>20</v>
      </c>
      <c r="I238" s="1">
        <v>100</v>
      </c>
      <c r="J238" s="1">
        <v>34965760</v>
      </c>
      <c r="L238" s="1" t="s">
        <v>529</v>
      </c>
      <c r="M238" s="1" t="s">
        <v>529</v>
      </c>
      <c r="N238" s="1" t="s">
        <v>22</v>
      </c>
      <c r="O238" s="1">
        <v>1</v>
      </c>
      <c r="P238" s="1" t="b">
        <v>1</v>
      </c>
      <c r="R238" s="1">
        <f t="shared" si="14"/>
        <v>0</v>
      </c>
      <c r="T238" s="1">
        <f t="shared" si="12"/>
        <v>0</v>
      </c>
      <c r="U238" s="1">
        <f t="shared" si="13"/>
        <v>0</v>
      </c>
    </row>
    <row r="239" spans="1:21" x14ac:dyDescent="0.25">
      <c r="A239" s="1" t="s">
        <v>530</v>
      </c>
      <c r="B239" s="1" t="s">
        <v>516</v>
      </c>
      <c r="C239" s="1" t="s">
        <v>45</v>
      </c>
      <c r="D239" s="2">
        <v>45031</v>
      </c>
      <c r="E239" s="2">
        <v>45151</v>
      </c>
      <c r="F239" s="2">
        <v>45031</v>
      </c>
      <c r="G239" s="2">
        <v>45151</v>
      </c>
      <c r="H239" s="1" t="s">
        <v>20</v>
      </c>
      <c r="I239" s="1">
        <v>100</v>
      </c>
      <c r="J239" s="1">
        <v>43707201</v>
      </c>
      <c r="L239" s="1" t="s">
        <v>531</v>
      </c>
      <c r="M239" s="1" t="s">
        <v>531</v>
      </c>
      <c r="N239" s="1" t="s">
        <v>22</v>
      </c>
      <c r="O239" s="1">
        <v>1</v>
      </c>
      <c r="P239" s="1" t="b">
        <v>1</v>
      </c>
      <c r="R239" s="1">
        <f t="shared" si="14"/>
        <v>0</v>
      </c>
      <c r="T239" s="1">
        <f t="shared" si="12"/>
        <v>0</v>
      </c>
      <c r="U239" s="1">
        <f t="shared" si="13"/>
        <v>0</v>
      </c>
    </row>
    <row r="240" spans="1:21" x14ac:dyDescent="0.25">
      <c r="A240" s="1" t="s">
        <v>532</v>
      </c>
      <c r="B240" s="1" t="s">
        <v>516</v>
      </c>
      <c r="C240" s="1" t="s">
        <v>48</v>
      </c>
      <c r="D240" s="2">
        <v>45151</v>
      </c>
      <c r="E240" s="2">
        <v>45187</v>
      </c>
      <c r="F240" s="2">
        <v>45151</v>
      </c>
      <c r="G240" s="2">
        <v>45187</v>
      </c>
      <c r="H240" s="1" t="s">
        <v>20</v>
      </c>
      <c r="I240" s="1">
        <v>100</v>
      </c>
      <c r="J240" s="1">
        <v>13112160</v>
      </c>
      <c r="L240" s="1" t="s">
        <v>533</v>
      </c>
      <c r="M240" s="1" t="s">
        <v>533</v>
      </c>
      <c r="N240" s="1" t="s">
        <v>22</v>
      </c>
      <c r="O240" s="1">
        <v>1</v>
      </c>
      <c r="P240" s="1" t="b">
        <v>1</v>
      </c>
      <c r="R240" s="1">
        <f t="shared" si="14"/>
        <v>0</v>
      </c>
      <c r="T240" s="1">
        <f t="shared" si="12"/>
        <v>0</v>
      </c>
      <c r="U240" s="1">
        <f t="shared" si="13"/>
        <v>0</v>
      </c>
    </row>
    <row r="241" spans="1:21" x14ac:dyDescent="0.25">
      <c r="A241" s="1" t="s">
        <v>534</v>
      </c>
      <c r="B241" s="1" t="s">
        <v>516</v>
      </c>
      <c r="C241" s="1" t="s">
        <v>51</v>
      </c>
      <c r="D241" s="2">
        <v>45187</v>
      </c>
      <c r="E241" s="2">
        <v>45211</v>
      </c>
      <c r="F241" s="2">
        <v>45187</v>
      </c>
      <c r="G241" s="2">
        <v>45211</v>
      </c>
      <c r="H241" s="1" t="s">
        <v>20</v>
      </c>
      <c r="I241" s="1">
        <v>100</v>
      </c>
      <c r="J241" s="1">
        <v>8741440</v>
      </c>
      <c r="L241" s="1" t="s">
        <v>535</v>
      </c>
      <c r="M241" s="1" t="s">
        <v>535</v>
      </c>
      <c r="N241" s="1" t="s">
        <v>22</v>
      </c>
      <c r="O241" s="1">
        <v>1</v>
      </c>
      <c r="P241" s="1" t="b">
        <v>1</v>
      </c>
      <c r="R241" s="1">
        <f t="shared" si="14"/>
        <v>0</v>
      </c>
      <c r="T241" s="1">
        <f t="shared" si="12"/>
        <v>0</v>
      </c>
      <c r="U241" s="1">
        <f t="shared" si="13"/>
        <v>0</v>
      </c>
    </row>
    <row r="242" spans="1:21" x14ac:dyDescent="0.25">
      <c r="A242" s="1" t="s">
        <v>536</v>
      </c>
      <c r="B242" s="1" t="s">
        <v>537</v>
      </c>
      <c r="C242" s="1" t="s">
        <v>19</v>
      </c>
      <c r="D242" s="2">
        <v>44907</v>
      </c>
      <c r="E242" s="2">
        <v>44952</v>
      </c>
      <c r="F242" s="2">
        <v>44907</v>
      </c>
      <c r="G242" s="2">
        <v>44952</v>
      </c>
      <c r="H242" s="1" t="s">
        <v>20</v>
      </c>
      <c r="I242" s="1">
        <v>100</v>
      </c>
      <c r="J242" s="1">
        <v>18681081</v>
      </c>
      <c r="L242" s="1" t="s">
        <v>538</v>
      </c>
      <c r="M242" s="1" t="s">
        <v>538</v>
      </c>
      <c r="N242" s="1" t="s">
        <v>22</v>
      </c>
      <c r="O242" s="1">
        <v>1</v>
      </c>
      <c r="P242" s="1" t="b">
        <v>1</v>
      </c>
      <c r="R242" s="1">
        <f t="shared" si="14"/>
        <v>0</v>
      </c>
      <c r="T242" s="1">
        <f t="shared" si="12"/>
        <v>0</v>
      </c>
      <c r="U242" s="1">
        <f t="shared" si="13"/>
        <v>0</v>
      </c>
    </row>
    <row r="243" spans="1:21" x14ac:dyDescent="0.25">
      <c r="A243" s="1" t="s">
        <v>539</v>
      </c>
      <c r="B243" s="1" t="s">
        <v>537</v>
      </c>
      <c r="C243" s="1" t="s">
        <v>24</v>
      </c>
      <c r="D243" s="2">
        <v>44952</v>
      </c>
      <c r="E243" s="2">
        <v>45042</v>
      </c>
      <c r="F243" s="2">
        <v>44952</v>
      </c>
      <c r="G243" s="2">
        <v>45042</v>
      </c>
      <c r="H243" s="1" t="s">
        <v>20</v>
      </c>
      <c r="I243" s="1">
        <v>100</v>
      </c>
      <c r="J243" s="1">
        <v>37362163</v>
      </c>
      <c r="L243" s="1" t="s">
        <v>540</v>
      </c>
      <c r="M243" s="1" t="s">
        <v>540</v>
      </c>
      <c r="N243" s="1" t="s">
        <v>22</v>
      </c>
      <c r="O243" s="1">
        <v>1</v>
      </c>
      <c r="P243" s="1" t="b">
        <v>1</v>
      </c>
      <c r="R243" s="1">
        <f t="shared" si="14"/>
        <v>0</v>
      </c>
      <c r="T243" s="1">
        <f t="shared" si="12"/>
        <v>0</v>
      </c>
      <c r="U243" s="1">
        <f t="shared" si="13"/>
        <v>0</v>
      </c>
    </row>
    <row r="244" spans="1:21" x14ac:dyDescent="0.25">
      <c r="A244" s="1" t="s">
        <v>541</v>
      </c>
      <c r="B244" s="1" t="s">
        <v>537</v>
      </c>
      <c r="C244" s="1" t="s">
        <v>27</v>
      </c>
      <c r="D244" s="2">
        <v>45042</v>
      </c>
      <c r="E244" s="2">
        <v>45150</v>
      </c>
      <c r="F244" s="2">
        <v>45042</v>
      </c>
      <c r="G244" s="2">
        <v>45150</v>
      </c>
      <c r="H244" s="1" t="s">
        <v>20</v>
      </c>
      <c r="I244" s="1">
        <v>100</v>
      </c>
      <c r="J244" s="1">
        <v>44834595</v>
      </c>
      <c r="L244" s="1" t="s">
        <v>542</v>
      </c>
      <c r="M244" s="1" t="s">
        <v>542</v>
      </c>
      <c r="N244" s="1" t="s">
        <v>22</v>
      </c>
      <c r="O244" s="1">
        <v>1</v>
      </c>
      <c r="P244" s="1" t="b">
        <v>1</v>
      </c>
      <c r="Q244" s="1" t="s">
        <v>29</v>
      </c>
      <c r="R244" s="1">
        <f t="shared" si="14"/>
        <v>0</v>
      </c>
      <c r="T244" s="1">
        <f t="shared" si="12"/>
        <v>0</v>
      </c>
      <c r="U244" s="1">
        <f t="shared" si="13"/>
        <v>0</v>
      </c>
    </row>
    <row r="245" spans="1:21" x14ac:dyDescent="0.25">
      <c r="A245" s="1" t="s">
        <v>543</v>
      </c>
      <c r="B245" s="1" t="s">
        <v>537</v>
      </c>
      <c r="C245" s="1" t="s">
        <v>31</v>
      </c>
      <c r="D245" s="2">
        <v>45150</v>
      </c>
      <c r="E245" s="2">
        <v>45285</v>
      </c>
      <c r="F245" s="2">
        <v>45150</v>
      </c>
      <c r="G245" s="2">
        <v>45285</v>
      </c>
      <c r="H245" s="1" t="s">
        <v>20</v>
      </c>
      <c r="I245" s="1">
        <v>100</v>
      </c>
      <c r="J245" s="1">
        <v>56043244</v>
      </c>
      <c r="L245" s="1" t="s">
        <v>544</v>
      </c>
      <c r="M245" s="1" t="s">
        <v>544</v>
      </c>
      <c r="N245" s="1" t="s">
        <v>22</v>
      </c>
      <c r="O245" s="1">
        <v>1</v>
      </c>
      <c r="P245" s="1" t="b">
        <v>1</v>
      </c>
      <c r="R245" s="1">
        <f t="shared" si="14"/>
        <v>0</v>
      </c>
      <c r="T245" s="1">
        <f t="shared" si="12"/>
        <v>0</v>
      </c>
      <c r="U245" s="1">
        <f t="shared" si="13"/>
        <v>0</v>
      </c>
    </row>
    <row r="246" spans="1:21" x14ac:dyDescent="0.25">
      <c r="A246" s="1" t="s">
        <v>545</v>
      </c>
      <c r="B246" s="1" t="s">
        <v>537</v>
      </c>
      <c r="C246" s="1" t="s">
        <v>34</v>
      </c>
      <c r="D246" s="2">
        <v>45285</v>
      </c>
      <c r="E246" s="2">
        <v>45510</v>
      </c>
      <c r="F246" s="2">
        <v>45285</v>
      </c>
      <c r="G246" s="2">
        <v>45510</v>
      </c>
      <c r="H246" s="1" t="s">
        <v>20</v>
      </c>
      <c r="I246" s="1">
        <v>100</v>
      </c>
      <c r="J246" s="1">
        <v>93405408</v>
      </c>
      <c r="L246" s="1" t="s">
        <v>546</v>
      </c>
      <c r="M246" s="1" t="s">
        <v>546</v>
      </c>
      <c r="N246" s="1" t="s">
        <v>22</v>
      </c>
      <c r="O246" s="1">
        <v>1</v>
      </c>
      <c r="P246" s="1" t="b">
        <v>1</v>
      </c>
      <c r="Q246" s="1" t="s">
        <v>29</v>
      </c>
      <c r="R246" s="1">
        <f t="shared" si="14"/>
        <v>0</v>
      </c>
      <c r="T246" s="1">
        <f t="shared" si="12"/>
        <v>0</v>
      </c>
      <c r="U246" s="1">
        <f t="shared" si="13"/>
        <v>0</v>
      </c>
    </row>
    <row r="247" spans="1:21" x14ac:dyDescent="0.25">
      <c r="A247" s="1" t="s">
        <v>547</v>
      </c>
      <c r="B247" s="1" t="s">
        <v>537</v>
      </c>
      <c r="C247" s="1" t="s">
        <v>37</v>
      </c>
      <c r="D247" s="2">
        <v>45510</v>
      </c>
      <c r="E247" s="2">
        <v>45600</v>
      </c>
      <c r="F247" s="2">
        <v>45510</v>
      </c>
      <c r="G247" s="2">
        <v>45600</v>
      </c>
      <c r="H247" s="1" t="s">
        <v>20</v>
      </c>
      <c r="I247" s="1">
        <v>100</v>
      </c>
      <c r="J247" s="1">
        <v>37362163</v>
      </c>
      <c r="L247" s="1" t="s">
        <v>548</v>
      </c>
      <c r="M247" s="1" t="s">
        <v>548</v>
      </c>
      <c r="N247" s="1" t="s">
        <v>22</v>
      </c>
      <c r="O247" s="1">
        <v>1</v>
      </c>
      <c r="P247" s="1" t="b">
        <v>1</v>
      </c>
      <c r="R247" s="1">
        <f t="shared" si="14"/>
        <v>0</v>
      </c>
      <c r="T247" s="1">
        <f t="shared" si="12"/>
        <v>0</v>
      </c>
      <c r="U247" s="1">
        <f t="shared" si="13"/>
        <v>0</v>
      </c>
    </row>
    <row r="248" spans="1:21" x14ac:dyDescent="0.25">
      <c r="A248" s="1" t="s">
        <v>549</v>
      </c>
      <c r="B248" s="1" t="s">
        <v>537</v>
      </c>
      <c r="C248" s="1" t="s">
        <v>41</v>
      </c>
      <c r="D248" s="2">
        <v>45600</v>
      </c>
      <c r="E248" s="2">
        <v>45672</v>
      </c>
      <c r="F248" s="2">
        <v>45600</v>
      </c>
      <c r="G248" s="2">
        <v>45672</v>
      </c>
      <c r="H248" s="1" t="s">
        <v>20</v>
      </c>
      <c r="I248" s="1">
        <v>100</v>
      </c>
      <c r="J248" s="1">
        <v>29889730</v>
      </c>
      <c r="L248" s="1" t="s">
        <v>550</v>
      </c>
      <c r="M248" s="1" t="s">
        <v>550</v>
      </c>
      <c r="N248" s="1" t="s">
        <v>22</v>
      </c>
      <c r="O248" s="1">
        <v>1</v>
      </c>
      <c r="P248" s="1" t="b">
        <v>1</v>
      </c>
      <c r="R248" s="1">
        <f t="shared" si="14"/>
        <v>0</v>
      </c>
      <c r="T248" s="1">
        <f t="shared" si="12"/>
        <v>0</v>
      </c>
      <c r="U248" s="1">
        <f t="shared" si="13"/>
        <v>0</v>
      </c>
    </row>
    <row r="249" spans="1:21" x14ac:dyDescent="0.25">
      <c r="A249" s="1" t="s">
        <v>551</v>
      </c>
      <c r="B249" s="1" t="s">
        <v>537</v>
      </c>
      <c r="C249" s="1" t="s">
        <v>45</v>
      </c>
      <c r="D249" s="2">
        <v>45672</v>
      </c>
      <c r="E249" s="2">
        <v>45762</v>
      </c>
      <c r="F249" s="2">
        <v>45672</v>
      </c>
      <c r="G249" s="2">
        <v>45762</v>
      </c>
      <c r="H249" s="1" t="s">
        <v>20</v>
      </c>
      <c r="I249" s="1">
        <v>100</v>
      </c>
      <c r="J249" s="1">
        <v>37362163</v>
      </c>
      <c r="L249" s="1" t="s">
        <v>552</v>
      </c>
      <c r="M249" s="1" t="s">
        <v>552</v>
      </c>
      <c r="N249" s="1" t="s">
        <v>22</v>
      </c>
      <c r="O249" s="1">
        <v>1</v>
      </c>
      <c r="P249" s="1" t="b">
        <v>1</v>
      </c>
      <c r="R249" s="1">
        <f t="shared" si="14"/>
        <v>0</v>
      </c>
      <c r="T249" s="1">
        <f t="shared" si="12"/>
        <v>0</v>
      </c>
      <c r="U249" s="1">
        <f t="shared" si="13"/>
        <v>0</v>
      </c>
    </row>
    <row r="250" spans="1:21" x14ac:dyDescent="0.25">
      <c r="A250" s="1" t="s">
        <v>553</v>
      </c>
      <c r="B250" s="1" t="s">
        <v>537</v>
      </c>
      <c r="C250" s="1" t="s">
        <v>48</v>
      </c>
      <c r="D250" s="2">
        <v>45762</v>
      </c>
      <c r="E250" s="2">
        <v>45789</v>
      </c>
      <c r="F250" s="2">
        <v>45762</v>
      </c>
      <c r="G250" s="2">
        <v>45789</v>
      </c>
      <c r="H250" s="1" t="s">
        <v>20</v>
      </c>
      <c r="I250" s="1">
        <v>100</v>
      </c>
      <c r="J250" s="1">
        <v>11208648</v>
      </c>
      <c r="L250" s="1" t="s">
        <v>554</v>
      </c>
      <c r="M250" s="1" t="s">
        <v>554</v>
      </c>
      <c r="N250" s="1" t="s">
        <v>22</v>
      </c>
      <c r="O250" s="1">
        <v>1</v>
      </c>
      <c r="P250" s="1" t="b">
        <v>1</v>
      </c>
      <c r="R250" s="1">
        <f t="shared" si="14"/>
        <v>0</v>
      </c>
      <c r="T250" s="1">
        <f t="shared" si="12"/>
        <v>0</v>
      </c>
      <c r="U250" s="1">
        <f t="shared" si="13"/>
        <v>0</v>
      </c>
    </row>
    <row r="251" spans="1:21" x14ac:dyDescent="0.25">
      <c r="A251" s="1" t="s">
        <v>555</v>
      </c>
      <c r="B251" s="1" t="s">
        <v>537</v>
      </c>
      <c r="C251" s="1" t="s">
        <v>51</v>
      </c>
      <c r="D251" s="2">
        <v>45789</v>
      </c>
      <c r="E251" s="2">
        <v>45807</v>
      </c>
      <c r="F251" s="2">
        <v>45789</v>
      </c>
      <c r="G251" s="2">
        <v>45807</v>
      </c>
      <c r="H251" s="1" t="s">
        <v>20</v>
      </c>
      <c r="I251" s="1">
        <v>100</v>
      </c>
      <c r="J251" s="1">
        <v>7472432</v>
      </c>
      <c r="L251" s="1" t="s">
        <v>556</v>
      </c>
      <c r="M251" s="1" t="s">
        <v>556</v>
      </c>
      <c r="N251" s="1" t="s">
        <v>22</v>
      </c>
      <c r="O251" s="1">
        <v>1</v>
      </c>
      <c r="P251" s="1" t="b">
        <v>1</v>
      </c>
      <c r="R251" s="1">
        <f t="shared" si="14"/>
        <v>0</v>
      </c>
      <c r="T251" s="1">
        <f t="shared" si="12"/>
        <v>0</v>
      </c>
      <c r="U251" s="1">
        <f t="shared" si="13"/>
        <v>0</v>
      </c>
    </row>
    <row r="252" spans="1:21" x14ac:dyDescent="0.25">
      <c r="A252" s="1" t="s">
        <v>557</v>
      </c>
      <c r="B252" s="1" t="s">
        <v>558</v>
      </c>
      <c r="C252" s="1" t="s">
        <v>19</v>
      </c>
      <c r="D252" s="2">
        <v>44196</v>
      </c>
      <c r="E252" s="2">
        <v>44259</v>
      </c>
      <c r="F252" s="2">
        <v>44196</v>
      </c>
      <c r="G252" s="2">
        <v>44259</v>
      </c>
      <c r="H252" s="1" t="s">
        <v>20</v>
      </c>
      <c r="I252" s="1">
        <v>100</v>
      </c>
      <c r="J252" s="1">
        <v>15894586</v>
      </c>
      <c r="L252" s="1" t="s">
        <v>559</v>
      </c>
      <c r="M252" s="1" t="s">
        <v>559</v>
      </c>
      <c r="N252" s="1" t="s">
        <v>22</v>
      </c>
      <c r="O252" s="1">
        <v>1</v>
      </c>
      <c r="P252" s="1" t="b">
        <v>1</v>
      </c>
      <c r="R252" s="1">
        <f t="shared" si="14"/>
        <v>0</v>
      </c>
      <c r="T252" s="1">
        <f t="shared" si="12"/>
        <v>0</v>
      </c>
      <c r="U252" s="1">
        <f t="shared" si="13"/>
        <v>0</v>
      </c>
    </row>
    <row r="253" spans="1:21" x14ac:dyDescent="0.25">
      <c r="A253" s="1" t="s">
        <v>560</v>
      </c>
      <c r="B253" s="1" t="s">
        <v>558</v>
      </c>
      <c r="C253" s="1" t="s">
        <v>24</v>
      </c>
      <c r="D253" s="2">
        <v>44259</v>
      </c>
      <c r="E253" s="2">
        <v>44385</v>
      </c>
      <c r="F253" s="2">
        <v>44259</v>
      </c>
      <c r="G253" s="2">
        <v>44385</v>
      </c>
      <c r="H253" s="1" t="s">
        <v>20</v>
      </c>
      <c r="I253" s="1">
        <v>100</v>
      </c>
      <c r="J253" s="1">
        <v>31789173</v>
      </c>
      <c r="L253" s="1" t="s">
        <v>561</v>
      </c>
      <c r="M253" s="1" t="s">
        <v>561</v>
      </c>
      <c r="N253" s="1" t="s">
        <v>22</v>
      </c>
      <c r="O253" s="1">
        <v>1</v>
      </c>
      <c r="P253" s="1" t="b">
        <v>1</v>
      </c>
      <c r="R253" s="1">
        <f t="shared" si="14"/>
        <v>0</v>
      </c>
      <c r="T253" s="1">
        <f t="shared" si="12"/>
        <v>0</v>
      </c>
      <c r="U253" s="1">
        <f t="shared" si="13"/>
        <v>0</v>
      </c>
    </row>
    <row r="254" spans="1:21" x14ac:dyDescent="0.25">
      <c r="A254" s="1" t="s">
        <v>562</v>
      </c>
      <c r="B254" s="1" t="s">
        <v>558</v>
      </c>
      <c r="C254" s="1" t="s">
        <v>27</v>
      </c>
      <c r="D254" s="2">
        <v>44385</v>
      </c>
      <c r="E254" s="2">
        <v>44536</v>
      </c>
      <c r="F254" s="2">
        <v>44385</v>
      </c>
      <c r="G254" s="2">
        <v>44536</v>
      </c>
      <c r="H254" s="1" t="s">
        <v>20</v>
      </c>
      <c r="I254" s="1">
        <v>100</v>
      </c>
      <c r="J254" s="1">
        <v>38147008</v>
      </c>
      <c r="L254" s="1" t="s">
        <v>563</v>
      </c>
      <c r="M254" s="1" t="s">
        <v>563</v>
      </c>
      <c r="N254" s="1" t="s">
        <v>22</v>
      </c>
      <c r="O254" s="1">
        <v>1</v>
      </c>
      <c r="P254" s="1" t="b">
        <v>1</v>
      </c>
      <c r="Q254" s="1" t="s">
        <v>29</v>
      </c>
      <c r="R254" s="1">
        <f t="shared" si="14"/>
        <v>0</v>
      </c>
      <c r="T254" s="1">
        <f t="shared" si="12"/>
        <v>0</v>
      </c>
      <c r="U254" s="1">
        <f t="shared" si="13"/>
        <v>0</v>
      </c>
    </row>
    <row r="255" spans="1:21" x14ac:dyDescent="0.25">
      <c r="A255" s="1" t="s">
        <v>564</v>
      </c>
      <c r="B255" s="1" t="s">
        <v>558</v>
      </c>
      <c r="C255" s="1" t="s">
        <v>31</v>
      </c>
      <c r="D255" s="2">
        <v>44536</v>
      </c>
      <c r="E255" s="2">
        <v>44725</v>
      </c>
      <c r="F255" s="2">
        <v>44536</v>
      </c>
      <c r="G255" s="2">
        <v>44725</v>
      </c>
      <c r="H255" s="1" t="s">
        <v>20</v>
      </c>
      <c r="I255" s="1">
        <v>100</v>
      </c>
      <c r="J255" s="1">
        <v>47683760</v>
      </c>
      <c r="L255" s="1" t="s">
        <v>565</v>
      </c>
      <c r="M255" s="1" t="s">
        <v>565</v>
      </c>
      <c r="N255" s="1" t="s">
        <v>22</v>
      </c>
      <c r="O255" s="1">
        <v>1</v>
      </c>
      <c r="P255" s="1" t="b">
        <v>1</v>
      </c>
      <c r="R255" s="1">
        <f t="shared" si="14"/>
        <v>0</v>
      </c>
      <c r="T255" s="1">
        <f t="shared" si="12"/>
        <v>0</v>
      </c>
      <c r="U255" s="1">
        <f t="shared" si="13"/>
        <v>0</v>
      </c>
    </row>
    <row r="256" spans="1:21" x14ac:dyDescent="0.25">
      <c r="A256" s="1" t="s">
        <v>566</v>
      </c>
      <c r="B256" s="1" t="s">
        <v>558</v>
      </c>
      <c r="C256" s="1" t="s">
        <v>34</v>
      </c>
      <c r="D256" s="2">
        <v>44725</v>
      </c>
      <c r="E256" s="2">
        <v>45040</v>
      </c>
      <c r="F256" s="2">
        <v>44725</v>
      </c>
      <c r="G256" s="2">
        <v>45040</v>
      </c>
      <c r="H256" s="1" t="s">
        <v>20</v>
      </c>
      <c r="I256" s="1">
        <v>100</v>
      </c>
      <c r="J256" s="1">
        <v>79472933</v>
      </c>
      <c r="L256" s="1" t="s">
        <v>567</v>
      </c>
      <c r="M256" s="1" t="s">
        <v>567</v>
      </c>
      <c r="N256" s="1" t="s">
        <v>22</v>
      </c>
      <c r="O256" s="1">
        <v>1</v>
      </c>
      <c r="P256" s="1" t="b">
        <v>1</v>
      </c>
      <c r="Q256" s="1" t="s">
        <v>29</v>
      </c>
      <c r="R256" s="1">
        <f t="shared" si="14"/>
        <v>0</v>
      </c>
      <c r="T256" s="1">
        <f t="shared" si="12"/>
        <v>0</v>
      </c>
      <c r="U256" s="1">
        <f t="shared" si="13"/>
        <v>0</v>
      </c>
    </row>
    <row r="257" spans="1:21" x14ac:dyDescent="0.25">
      <c r="A257" s="1" t="s">
        <v>568</v>
      </c>
      <c r="B257" s="1" t="s">
        <v>558</v>
      </c>
      <c r="C257" s="1" t="s">
        <v>37</v>
      </c>
      <c r="D257" s="2">
        <v>45040</v>
      </c>
      <c r="E257" s="2">
        <v>45166</v>
      </c>
      <c r="F257" s="2">
        <v>45040</v>
      </c>
      <c r="G257" s="2">
        <v>45166</v>
      </c>
      <c r="H257" s="1" t="s">
        <v>20</v>
      </c>
      <c r="I257" s="1">
        <v>100</v>
      </c>
      <c r="J257" s="1">
        <v>31789173</v>
      </c>
      <c r="L257" s="1" t="s">
        <v>569</v>
      </c>
      <c r="M257" s="1" t="s">
        <v>569</v>
      </c>
      <c r="N257" s="1" t="s">
        <v>22</v>
      </c>
      <c r="O257" s="1">
        <v>1</v>
      </c>
      <c r="P257" s="1" t="b">
        <v>1</v>
      </c>
      <c r="R257" s="1">
        <f t="shared" si="14"/>
        <v>0</v>
      </c>
      <c r="T257" s="1">
        <f t="shared" si="12"/>
        <v>0</v>
      </c>
      <c r="U257" s="1">
        <f t="shared" si="13"/>
        <v>0</v>
      </c>
    </row>
    <row r="258" spans="1:21" x14ac:dyDescent="0.25">
      <c r="A258" s="1" t="s">
        <v>570</v>
      </c>
      <c r="B258" s="1" t="s">
        <v>558</v>
      </c>
      <c r="C258" s="1" t="s">
        <v>41</v>
      </c>
      <c r="D258" s="2">
        <v>45166</v>
      </c>
      <c r="E258" s="2">
        <v>45266</v>
      </c>
      <c r="F258" s="2">
        <v>45166</v>
      </c>
      <c r="G258" s="2">
        <v>45266</v>
      </c>
      <c r="H258" s="1" t="s">
        <v>20</v>
      </c>
      <c r="I258" s="1">
        <v>100</v>
      </c>
      <c r="J258" s="1">
        <v>25431338</v>
      </c>
      <c r="L258" s="1" t="s">
        <v>571</v>
      </c>
      <c r="M258" s="1" t="s">
        <v>571</v>
      </c>
      <c r="N258" s="1" t="s">
        <v>22</v>
      </c>
      <c r="O258" s="1">
        <v>1</v>
      </c>
      <c r="P258" s="1" t="b">
        <v>1</v>
      </c>
      <c r="R258" s="1">
        <f t="shared" si="14"/>
        <v>0</v>
      </c>
      <c r="T258" s="1">
        <f t="shared" si="12"/>
        <v>0</v>
      </c>
      <c r="U258" s="1">
        <f t="shared" si="13"/>
        <v>0</v>
      </c>
    </row>
    <row r="259" spans="1:21" x14ac:dyDescent="0.25">
      <c r="A259" s="1" t="s">
        <v>572</v>
      </c>
      <c r="B259" s="1" t="s">
        <v>558</v>
      </c>
      <c r="C259" s="1" t="s">
        <v>45</v>
      </c>
      <c r="D259" s="2">
        <v>45266</v>
      </c>
      <c r="E259" s="2">
        <v>45392</v>
      </c>
      <c r="F259" s="2">
        <v>45266</v>
      </c>
      <c r="G259" s="2">
        <v>45392</v>
      </c>
      <c r="H259" s="1" t="s">
        <v>20</v>
      </c>
      <c r="I259" s="1">
        <v>100</v>
      </c>
      <c r="J259" s="1">
        <v>31789173</v>
      </c>
      <c r="L259" s="1" t="s">
        <v>573</v>
      </c>
      <c r="M259" s="1" t="s">
        <v>573</v>
      </c>
      <c r="N259" s="1" t="s">
        <v>22</v>
      </c>
      <c r="O259" s="1">
        <v>1</v>
      </c>
      <c r="P259" s="1" t="b">
        <v>1</v>
      </c>
      <c r="R259" s="1">
        <f t="shared" si="14"/>
        <v>0</v>
      </c>
      <c r="T259" s="1">
        <f t="shared" ref="T259:T322" si="15">IF(S259&gt;0,1,0)</f>
        <v>0</v>
      </c>
      <c r="U259" s="1">
        <f t="shared" ref="U259:U322" si="16">IF(S259&gt;0,S259,0)</f>
        <v>0</v>
      </c>
    </row>
    <row r="260" spans="1:21" x14ac:dyDescent="0.25">
      <c r="A260" s="1" t="s">
        <v>574</v>
      </c>
      <c r="B260" s="1" t="s">
        <v>558</v>
      </c>
      <c r="C260" s="1" t="s">
        <v>48</v>
      </c>
      <c r="D260" s="2">
        <v>45392</v>
      </c>
      <c r="E260" s="2">
        <v>45429</v>
      </c>
      <c r="F260" s="2">
        <v>45392</v>
      </c>
      <c r="G260" s="2">
        <v>45429</v>
      </c>
      <c r="H260" s="1" t="s">
        <v>20</v>
      </c>
      <c r="I260" s="1">
        <v>100</v>
      </c>
      <c r="J260" s="1">
        <v>9536752</v>
      </c>
      <c r="L260" s="1" t="s">
        <v>575</v>
      </c>
      <c r="M260" s="1" t="s">
        <v>575</v>
      </c>
      <c r="N260" s="1" t="s">
        <v>22</v>
      </c>
      <c r="O260" s="1">
        <v>1</v>
      </c>
      <c r="P260" s="1" t="b">
        <v>1</v>
      </c>
      <c r="R260" s="1">
        <f t="shared" si="14"/>
        <v>0</v>
      </c>
      <c r="T260" s="1">
        <f t="shared" si="15"/>
        <v>0</v>
      </c>
      <c r="U260" s="1">
        <f t="shared" si="16"/>
        <v>0</v>
      </c>
    </row>
    <row r="261" spans="1:21" x14ac:dyDescent="0.25">
      <c r="A261" s="1" t="s">
        <v>576</v>
      </c>
      <c r="B261" s="1" t="s">
        <v>558</v>
      </c>
      <c r="C261" s="1" t="s">
        <v>51</v>
      </c>
      <c r="D261" s="2">
        <v>45429</v>
      </c>
      <c r="E261" s="2">
        <v>45454</v>
      </c>
      <c r="F261" s="2">
        <v>45429</v>
      </c>
      <c r="G261" s="2">
        <v>45454</v>
      </c>
      <c r="H261" s="1" t="s">
        <v>20</v>
      </c>
      <c r="I261" s="1">
        <v>100</v>
      </c>
      <c r="J261" s="1">
        <v>6357834</v>
      </c>
      <c r="L261" s="1" t="s">
        <v>577</v>
      </c>
      <c r="M261" s="1" t="s">
        <v>577</v>
      </c>
      <c r="N261" s="1" t="s">
        <v>22</v>
      </c>
      <c r="O261" s="1">
        <v>1</v>
      </c>
      <c r="P261" s="1" t="b">
        <v>1</v>
      </c>
      <c r="R261" s="1">
        <f t="shared" si="14"/>
        <v>0</v>
      </c>
      <c r="T261" s="1">
        <f t="shared" si="15"/>
        <v>0</v>
      </c>
      <c r="U261" s="1">
        <f t="shared" si="16"/>
        <v>0</v>
      </c>
    </row>
    <row r="262" spans="1:21" x14ac:dyDescent="0.25">
      <c r="A262" s="1" t="s">
        <v>578</v>
      </c>
      <c r="B262" s="1" t="s">
        <v>579</v>
      </c>
      <c r="C262" s="1" t="s">
        <v>19</v>
      </c>
      <c r="D262" s="2">
        <v>45582</v>
      </c>
      <c r="E262" s="2">
        <v>45604</v>
      </c>
      <c r="F262" s="2">
        <v>45582</v>
      </c>
      <c r="G262" s="2">
        <v>45604</v>
      </c>
      <c r="H262" s="1" t="s">
        <v>20</v>
      </c>
      <c r="I262" s="1">
        <v>100</v>
      </c>
      <c r="J262" s="1">
        <v>18241998</v>
      </c>
      <c r="L262" s="1" t="s">
        <v>580</v>
      </c>
      <c r="M262" s="1" t="s">
        <v>580</v>
      </c>
      <c r="N262" s="1" t="s">
        <v>22</v>
      </c>
      <c r="O262" s="1">
        <v>1</v>
      </c>
      <c r="P262" s="1" t="b">
        <v>1</v>
      </c>
      <c r="R262" s="1">
        <f t="shared" si="14"/>
        <v>0</v>
      </c>
      <c r="T262" s="1">
        <f t="shared" si="15"/>
        <v>0</v>
      </c>
      <c r="U262" s="1">
        <f t="shared" si="16"/>
        <v>0</v>
      </c>
    </row>
    <row r="263" spans="1:21" x14ac:dyDescent="0.25">
      <c r="A263" s="1" t="s">
        <v>581</v>
      </c>
      <c r="B263" s="1" t="s">
        <v>579</v>
      </c>
      <c r="C263" s="1" t="s">
        <v>24</v>
      </c>
      <c r="D263" s="2">
        <v>45604</v>
      </c>
      <c r="E263" s="2">
        <v>45649</v>
      </c>
      <c r="F263" s="2">
        <v>45604</v>
      </c>
      <c r="G263" s="2">
        <v>45649</v>
      </c>
      <c r="H263" s="1" t="s">
        <v>20</v>
      </c>
      <c r="I263" s="1">
        <v>100</v>
      </c>
      <c r="J263" s="1">
        <v>36483997</v>
      </c>
      <c r="L263" s="1" t="s">
        <v>582</v>
      </c>
      <c r="M263" s="1" t="s">
        <v>582</v>
      </c>
      <c r="N263" s="1" t="s">
        <v>22</v>
      </c>
      <c r="O263" s="1">
        <v>1</v>
      </c>
      <c r="P263" s="1" t="b">
        <v>1</v>
      </c>
      <c r="R263" s="1">
        <f t="shared" si="14"/>
        <v>0</v>
      </c>
      <c r="T263" s="1">
        <f t="shared" si="15"/>
        <v>0</v>
      </c>
      <c r="U263" s="1">
        <f t="shared" si="16"/>
        <v>0</v>
      </c>
    </row>
    <row r="264" spans="1:21" x14ac:dyDescent="0.25">
      <c r="A264" s="1" t="s">
        <v>583</v>
      </c>
      <c r="B264" s="1" t="s">
        <v>579</v>
      </c>
      <c r="C264" s="1" t="s">
        <v>27</v>
      </c>
      <c r="D264" s="2">
        <v>45649</v>
      </c>
      <c r="E264" s="2">
        <v>45703</v>
      </c>
      <c r="F264" s="2">
        <v>45649</v>
      </c>
      <c r="G264" s="2">
        <v>45703</v>
      </c>
      <c r="H264" s="1" t="s">
        <v>20</v>
      </c>
      <c r="I264" s="1">
        <v>100</v>
      </c>
      <c r="J264" s="1">
        <v>43780796</v>
      </c>
      <c r="L264" s="1" t="s">
        <v>584</v>
      </c>
      <c r="M264" s="1" t="s">
        <v>584</v>
      </c>
      <c r="N264" s="1" t="s">
        <v>22</v>
      </c>
      <c r="O264" s="1">
        <v>1</v>
      </c>
      <c r="P264" s="1" t="b">
        <v>1</v>
      </c>
      <c r="Q264" s="1" t="s">
        <v>29</v>
      </c>
      <c r="R264" s="1">
        <f t="shared" ref="R264:R295" si="17">G264-E264</f>
        <v>0</v>
      </c>
      <c r="T264" s="1">
        <f t="shared" si="15"/>
        <v>0</v>
      </c>
      <c r="U264" s="1">
        <f t="shared" si="16"/>
        <v>0</v>
      </c>
    </row>
    <row r="265" spans="1:21" x14ac:dyDescent="0.25">
      <c r="A265" s="1" t="s">
        <v>585</v>
      </c>
      <c r="B265" s="1" t="s">
        <v>579</v>
      </c>
      <c r="C265" s="1" t="s">
        <v>31</v>
      </c>
      <c r="D265" s="2">
        <v>45703</v>
      </c>
      <c r="E265" s="2">
        <v>45770</v>
      </c>
      <c r="F265" s="2">
        <v>45703</v>
      </c>
      <c r="G265" s="2">
        <v>45770</v>
      </c>
      <c r="H265" s="1" t="s">
        <v>20</v>
      </c>
      <c r="I265" s="1">
        <v>100</v>
      </c>
      <c r="J265" s="1">
        <v>54725995</v>
      </c>
      <c r="L265" s="1" t="s">
        <v>586</v>
      </c>
      <c r="M265" s="1" t="s">
        <v>586</v>
      </c>
      <c r="N265" s="1" t="s">
        <v>22</v>
      </c>
      <c r="O265" s="1">
        <v>1</v>
      </c>
      <c r="P265" s="1" t="b">
        <v>1</v>
      </c>
      <c r="R265" s="1">
        <f t="shared" si="17"/>
        <v>0</v>
      </c>
      <c r="T265" s="1">
        <f t="shared" si="15"/>
        <v>0</v>
      </c>
      <c r="U265" s="1">
        <f t="shared" si="16"/>
        <v>0</v>
      </c>
    </row>
    <row r="266" spans="1:21" x14ac:dyDescent="0.25">
      <c r="A266" s="1" t="s">
        <v>587</v>
      </c>
      <c r="B266" s="1" t="s">
        <v>579</v>
      </c>
      <c r="C266" s="1" t="s">
        <v>34</v>
      </c>
      <c r="D266" s="2">
        <v>45770</v>
      </c>
      <c r="E266" s="2">
        <v>45882</v>
      </c>
      <c r="F266" s="2">
        <v>45770</v>
      </c>
      <c r="G266" s="2">
        <v>45882</v>
      </c>
      <c r="H266" s="1" t="s">
        <v>20</v>
      </c>
      <c r="I266" s="1">
        <v>100</v>
      </c>
      <c r="J266" s="1">
        <v>91209993</v>
      </c>
      <c r="L266" s="1" t="s">
        <v>588</v>
      </c>
      <c r="M266" s="1" t="s">
        <v>588</v>
      </c>
      <c r="N266" s="1" t="s">
        <v>22</v>
      </c>
      <c r="O266" s="1">
        <v>1</v>
      </c>
      <c r="P266" s="1" t="b">
        <v>1</v>
      </c>
      <c r="Q266" s="1" t="s">
        <v>29</v>
      </c>
      <c r="R266" s="1">
        <f t="shared" si="17"/>
        <v>0</v>
      </c>
      <c r="T266" s="1">
        <f t="shared" si="15"/>
        <v>0</v>
      </c>
      <c r="U266" s="1">
        <f t="shared" si="16"/>
        <v>0</v>
      </c>
    </row>
    <row r="267" spans="1:21" x14ac:dyDescent="0.25">
      <c r="A267" s="1" t="s">
        <v>589</v>
      </c>
      <c r="B267" s="1" t="s">
        <v>579</v>
      </c>
      <c r="C267" s="1" t="s">
        <v>37</v>
      </c>
      <c r="D267" s="2">
        <v>45882</v>
      </c>
      <c r="E267" s="2">
        <v>45927</v>
      </c>
      <c r="F267" s="2">
        <v>45882</v>
      </c>
      <c r="G267" s="2">
        <v>45927</v>
      </c>
      <c r="H267" s="1" t="s">
        <v>20</v>
      </c>
      <c r="I267" s="1">
        <v>100</v>
      </c>
      <c r="J267" s="1">
        <v>36483997</v>
      </c>
      <c r="L267" s="1" t="s">
        <v>590</v>
      </c>
      <c r="M267" s="1" t="s">
        <v>590</v>
      </c>
      <c r="N267" s="1" t="s">
        <v>22</v>
      </c>
      <c r="O267" s="1">
        <v>1</v>
      </c>
      <c r="P267" s="1" t="b">
        <v>1</v>
      </c>
      <c r="R267" s="1">
        <f t="shared" si="17"/>
        <v>0</v>
      </c>
      <c r="T267" s="1">
        <f t="shared" si="15"/>
        <v>0</v>
      </c>
      <c r="U267" s="1">
        <f t="shared" si="16"/>
        <v>0</v>
      </c>
    </row>
    <row r="268" spans="1:21" x14ac:dyDescent="0.25">
      <c r="A268" s="1" t="s">
        <v>591</v>
      </c>
      <c r="B268" s="1" t="s">
        <v>579</v>
      </c>
      <c r="C268" s="1" t="s">
        <v>41</v>
      </c>
      <c r="D268" s="2">
        <v>45927</v>
      </c>
      <c r="E268" s="2">
        <v>45963</v>
      </c>
      <c r="F268" s="2">
        <v>45927</v>
      </c>
      <c r="G268" s="2">
        <v>45963</v>
      </c>
      <c r="H268" s="1" t="s">
        <v>20</v>
      </c>
      <c r="I268" s="1">
        <v>100</v>
      </c>
      <c r="J268" s="1">
        <v>29187197</v>
      </c>
      <c r="L268" s="1" t="s">
        <v>592</v>
      </c>
      <c r="M268" s="1" t="s">
        <v>592</v>
      </c>
      <c r="N268" s="1" t="s">
        <v>22</v>
      </c>
      <c r="O268" s="1">
        <v>1</v>
      </c>
      <c r="P268" s="1" t="b">
        <v>1</v>
      </c>
      <c r="R268" s="1">
        <f t="shared" si="17"/>
        <v>0</v>
      </c>
      <c r="T268" s="1">
        <f t="shared" si="15"/>
        <v>0</v>
      </c>
      <c r="U268" s="1">
        <f t="shared" si="16"/>
        <v>0</v>
      </c>
    </row>
    <row r="269" spans="1:21" x14ac:dyDescent="0.25">
      <c r="A269" s="1" t="s">
        <v>593</v>
      </c>
      <c r="B269" s="1" t="s">
        <v>579</v>
      </c>
      <c r="C269" s="1" t="s">
        <v>45</v>
      </c>
      <c r="D269" s="2">
        <v>45963</v>
      </c>
      <c r="E269" s="2">
        <v>46008</v>
      </c>
      <c r="F269" s="2">
        <v>45963</v>
      </c>
      <c r="G269" s="2">
        <v>46008</v>
      </c>
      <c r="H269" s="1" t="s">
        <v>20</v>
      </c>
      <c r="I269" s="1">
        <v>100</v>
      </c>
      <c r="J269" s="1">
        <v>36483997</v>
      </c>
      <c r="L269" s="1" t="s">
        <v>594</v>
      </c>
      <c r="M269" s="1" t="s">
        <v>594</v>
      </c>
      <c r="N269" s="1" t="s">
        <v>22</v>
      </c>
      <c r="O269" s="1">
        <v>1</v>
      </c>
      <c r="P269" s="1" t="b">
        <v>1</v>
      </c>
      <c r="R269" s="1">
        <f t="shared" si="17"/>
        <v>0</v>
      </c>
      <c r="T269" s="1">
        <f t="shared" si="15"/>
        <v>0</v>
      </c>
      <c r="U269" s="1">
        <f t="shared" si="16"/>
        <v>0</v>
      </c>
    </row>
    <row r="270" spans="1:21" x14ac:dyDescent="0.25">
      <c r="A270" s="1" t="s">
        <v>595</v>
      </c>
      <c r="B270" s="1" t="s">
        <v>579</v>
      </c>
      <c r="C270" s="1" t="s">
        <v>48</v>
      </c>
      <c r="D270" s="2">
        <v>46008</v>
      </c>
      <c r="E270" s="2">
        <v>46021</v>
      </c>
      <c r="F270" s="2">
        <v>46008</v>
      </c>
      <c r="G270" s="2">
        <v>46021</v>
      </c>
      <c r="H270" s="1" t="s">
        <v>20</v>
      </c>
      <c r="I270" s="1">
        <v>100</v>
      </c>
      <c r="J270" s="1">
        <v>10945199</v>
      </c>
      <c r="L270" s="1" t="s">
        <v>596</v>
      </c>
      <c r="M270" s="1" t="s">
        <v>596</v>
      </c>
      <c r="N270" s="1" t="s">
        <v>22</v>
      </c>
      <c r="O270" s="1">
        <v>1</v>
      </c>
      <c r="P270" s="1" t="b">
        <v>1</v>
      </c>
      <c r="R270" s="1">
        <f t="shared" si="17"/>
        <v>0</v>
      </c>
      <c r="T270" s="1">
        <f t="shared" si="15"/>
        <v>0</v>
      </c>
      <c r="U270" s="1">
        <f t="shared" si="16"/>
        <v>0</v>
      </c>
    </row>
    <row r="271" spans="1:21" x14ac:dyDescent="0.25">
      <c r="A271" s="1" t="s">
        <v>597</v>
      </c>
      <c r="B271" s="1" t="s">
        <v>579</v>
      </c>
      <c r="C271" s="1" t="s">
        <v>51</v>
      </c>
      <c r="D271" s="2">
        <v>46021</v>
      </c>
      <c r="E271" s="2">
        <v>46030</v>
      </c>
      <c r="F271" s="2">
        <v>46021</v>
      </c>
      <c r="G271" s="2">
        <v>46030</v>
      </c>
      <c r="H271" s="1" t="s">
        <v>20</v>
      </c>
      <c r="I271" s="1">
        <v>100</v>
      </c>
      <c r="J271" s="1">
        <v>7296799</v>
      </c>
      <c r="L271" s="1" t="s">
        <v>598</v>
      </c>
      <c r="M271" s="1" t="s">
        <v>598</v>
      </c>
      <c r="N271" s="1" t="s">
        <v>22</v>
      </c>
      <c r="O271" s="1">
        <v>1</v>
      </c>
      <c r="P271" s="1" t="b">
        <v>1</v>
      </c>
      <c r="R271" s="1">
        <f t="shared" si="17"/>
        <v>0</v>
      </c>
      <c r="T271" s="1">
        <f t="shared" si="15"/>
        <v>0</v>
      </c>
      <c r="U271" s="1">
        <f t="shared" si="16"/>
        <v>0</v>
      </c>
    </row>
    <row r="272" spans="1:21" x14ac:dyDescent="0.25">
      <c r="A272" s="1" t="s">
        <v>599</v>
      </c>
      <c r="B272" s="1" t="s">
        <v>600</v>
      </c>
      <c r="C272" s="1" t="s">
        <v>19</v>
      </c>
      <c r="D272" s="2">
        <v>44561</v>
      </c>
      <c r="E272" s="2">
        <v>44630</v>
      </c>
      <c r="F272" s="2">
        <v>44561</v>
      </c>
      <c r="G272" s="2">
        <v>44630</v>
      </c>
      <c r="H272" s="1" t="s">
        <v>20</v>
      </c>
      <c r="I272" s="1">
        <v>100</v>
      </c>
      <c r="J272" s="1">
        <v>1117217</v>
      </c>
      <c r="L272" s="1" t="s">
        <v>601</v>
      </c>
      <c r="M272" s="1" t="s">
        <v>601</v>
      </c>
      <c r="N272" s="1" t="s">
        <v>22</v>
      </c>
      <c r="O272" s="1">
        <v>1</v>
      </c>
      <c r="P272" s="1" t="b">
        <v>1</v>
      </c>
      <c r="R272" s="1">
        <f t="shared" si="17"/>
        <v>0</v>
      </c>
      <c r="T272" s="1">
        <f t="shared" si="15"/>
        <v>0</v>
      </c>
      <c r="U272" s="1">
        <f t="shared" si="16"/>
        <v>0</v>
      </c>
    </row>
    <row r="273" spans="1:21" x14ac:dyDescent="0.25">
      <c r="A273" s="1" t="s">
        <v>602</v>
      </c>
      <c r="B273" s="1" t="s">
        <v>600</v>
      </c>
      <c r="C273" s="1" t="s">
        <v>24</v>
      </c>
      <c r="D273" s="2">
        <v>44630</v>
      </c>
      <c r="E273" s="2">
        <v>44768</v>
      </c>
      <c r="F273" s="2">
        <v>44630</v>
      </c>
      <c r="G273" s="2">
        <v>44768</v>
      </c>
      <c r="H273" s="1" t="s">
        <v>20</v>
      </c>
      <c r="I273" s="1">
        <v>100</v>
      </c>
      <c r="J273" s="1">
        <v>2234435</v>
      </c>
      <c r="L273" s="1" t="s">
        <v>603</v>
      </c>
      <c r="M273" s="1" t="s">
        <v>603</v>
      </c>
      <c r="N273" s="1" t="s">
        <v>22</v>
      </c>
      <c r="O273" s="1">
        <v>1</v>
      </c>
      <c r="P273" s="1" t="b">
        <v>1</v>
      </c>
      <c r="R273" s="1">
        <f t="shared" si="17"/>
        <v>0</v>
      </c>
      <c r="T273" s="1">
        <f t="shared" si="15"/>
        <v>0</v>
      </c>
      <c r="U273" s="1">
        <f t="shared" si="16"/>
        <v>0</v>
      </c>
    </row>
    <row r="274" spans="1:21" x14ac:dyDescent="0.25">
      <c r="A274" s="1" t="s">
        <v>604</v>
      </c>
      <c r="B274" s="1" t="s">
        <v>600</v>
      </c>
      <c r="C274" s="1" t="s">
        <v>27</v>
      </c>
      <c r="D274" s="2">
        <v>44768</v>
      </c>
      <c r="E274" s="2">
        <v>44933</v>
      </c>
      <c r="F274" s="2">
        <v>44768</v>
      </c>
      <c r="G274" s="2">
        <v>44933</v>
      </c>
      <c r="H274" s="1" t="s">
        <v>20</v>
      </c>
      <c r="I274" s="1">
        <v>100</v>
      </c>
      <c r="J274" s="1">
        <v>2681322</v>
      </c>
      <c r="L274" s="1" t="s">
        <v>605</v>
      </c>
      <c r="M274" s="1" t="s">
        <v>605</v>
      </c>
      <c r="N274" s="1" t="s">
        <v>22</v>
      </c>
      <c r="O274" s="1">
        <v>1</v>
      </c>
      <c r="P274" s="1" t="b">
        <v>1</v>
      </c>
      <c r="Q274" s="1" t="s">
        <v>29</v>
      </c>
      <c r="R274" s="1">
        <f t="shared" si="17"/>
        <v>0</v>
      </c>
      <c r="T274" s="1">
        <f t="shared" si="15"/>
        <v>0</v>
      </c>
      <c r="U274" s="1">
        <f t="shared" si="16"/>
        <v>0</v>
      </c>
    </row>
    <row r="275" spans="1:21" x14ac:dyDescent="0.25">
      <c r="A275" s="1" t="s">
        <v>606</v>
      </c>
      <c r="B275" s="1" t="s">
        <v>600</v>
      </c>
      <c r="C275" s="1" t="s">
        <v>31</v>
      </c>
      <c r="D275" s="2">
        <v>44933</v>
      </c>
      <c r="E275" s="2">
        <v>45140</v>
      </c>
      <c r="F275" s="2">
        <v>44933</v>
      </c>
      <c r="G275" s="2">
        <v>45140</v>
      </c>
      <c r="H275" s="1" t="s">
        <v>20</v>
      </c>
      <c r="I275" s="1">
        <v>100</v>
      </c>
      <c r="J275" s="1">
        <v>3351653</v>
      </c>
      <c r="L275" s="1" t="s">
        <v>607</v>
      </c>
      <c r="M275" s="1" t="s">
        <v>607</v>
      </c>
      <c r="N275" s="1" t="s">
        <v>22</v>
      </c>
      <c r="O275" s="1">
        <v>1</v>
      </c>
      <c r="P275" s="1" t="b">
        <v>1</v>
      </c>
      <c r="R275" s="1">
        <f t="shared" si="17"/>
        <v>0</v>
      </c>
      <c r="T275" s="1">
        <f t="shared" si="15"/>
        <v>0</v>
      </c>
      <c r="U275" s="1">
        <f t="shared" si="16"/>
        <v>0</v>
      </c>
    </row>
    <row r="276" spans="1:21" x14ac:dyDescent="0.25">
      <c r="A276" s="1" t="s">
        <v>608</v>
      </c>
      <c r="B276" s="1" t="s">
        <v>600</v>
      </c>
      <c r="C276" s="1" t="s">
        <v>34</v>
      </c>
      <c r="D276" s="2">
        <v>45140</v>
      </c>
      <c r="E276" s="2">
        <v>45485</v>
      </c>
      <c r="F276" s="2">
        <v>45140</v>
      </c>
      <c r="G276" s="2">
        <v>45485</v>
      </c>
      <c r="H276" s="1" t="s">
        <v>20</v>
      </c>
      <c r="I276" s="1">
        <v>100</v>
      </c>
      <c r="J276" s="1">
        <v>5586089</v>
      </c>
      <c r="L276" s="1" t="s">
        <v>218</v>
      </c>
      <c r="M276" s="1" t="s">
        <v>218</v>
      </c>
      <c r="N276" s="1" t="s">
        <v>22</v>
      </c>
      <c r="O276" s="1">
        <v>1</v>
      </c>
      <c r="P276" s="1" t="b">
        <v>1</v>
      </c>
      <c r="Q276" s="1" t="s">
        <v>29</v>
      </c>
      <c r="R276" s="1">
        <f t="shared" si="17"/>
        <v>0</v>
      </c>
      <c r="T276" s="1">
        <f t="shared" si="15"/>
        <v>0</v>
      </c>
      <c r="U276" s="1">
        <f t="shared" si="16"/>
        <v>0</v>
      </c>
    </row>
    <row r="277" spans="1:21" x14ac:dyDescent="0.25">
      <c r="A277" s="1" t="s">
        <v>609</v>
      </c>
      <c r="B277" s="1" t="s">
        <v>600</v>
      </c>
      <c r="C277" s="1" t="s">
        <v>37</v>
      </c>
      <c r="D277" s="2">
        <v>45485</v>
      </c>
      <c r="E277" s="2">
        <v>45623</v>
      </c>
      <c r="F277" s="2">
        <v>45485</v>
      </c>
      <c r="G277" s="2">
        <v>45623</v>
      </c>
      <c r="H277" s="1" t="s">
        <v>20</v>
      </c>
      <c r="I277" s="1">
        <v>100</v>
      </c>
      <c r="J277" s="1">
        <v>2234435</v>
      </c>
      <c r="L277" s="1" t="s">
        <v>610</v>
      </c>
      <c r="M277" s="1" t="s">
        <v>610</v>
      </c>
      <c r="N277" s="1" t="s">
        <v>22</v>
      </c>
      <c r="O277" s="1">
        <v>1</v>
      </c>
      <c r="P277" s="1" t="b">
        <v>1</v>
      </c>
      <c r="R277" s="1">
        <f t="shared" si="17"/>
        <v>0</v>
      </c>
      <c r="T277" s="1">
        <f t="shared" si="15"/>
        <v>0</v>
      </c>
      <c r="U277" s="1">
        <f t="shared" si="16"/>
        <v>0</v>
      </c>
    </row>
    <row r="278" spans="1:21" x14ac:dyDescent="0.25">
      <c r="A278" s="1" t="s">
        <v>611</v>
      </c>
      <c r="B278" s="1" t="s">
        <v>600</v>
      </c>
      <c r="C278" s="1" t="s">
        <v>41</v>
      </c>
      <c r="D278" s="2">
        <v>45623</v>
      </c>
      <c r="E278" s="2">
        <v>45733</v>
      </c>
      <c r="F278" s="2">
        <v>45623</v>
      </c>
      <c r="G278" s="2">
        <v>45733</v>
      </c>
      <c r="H278" s="1" t="s">
        <v>20</v>
      </c>
      <c r="I278" s="1">
        <v>100</v>
      </c>
      <c r="J278" s="1">
        <v>1787548</v>
      </c>
      <c r="L278" s="1" t="s">
        <v>612</v>
      </c>
      <c r="M278" s="1" t="s">
        <v>612</v>
      </c>
      <c r="N278" s="1" t="s">
        <v>22</v>
      </c>
      <c r="O278" s="1">
        <v>1</v>
      </c>
      <c r="P278" s="1" t="b">
        <v>1</v>
      </c>
      <c r="R278" s="1">
        <f t="shared" si="17"/>
        <v>0</v>
      </c>
      <c r="T278" s="1">
        <f t="shared" si="15"/>
        <v>0</v>
      </c>
      <c r="U278" s="1">
        <f t="shared" si="16"/>
        <v>0</v>
      </c>
    </row>
    <row r="279" spans="1:21" x14ac:dyDescent="0.25">
      <c r="A279" s="1" t="s">
        <v>613</v>
      </c>
      <c r="B279" s="1" t="s">
        <v>600</v>
      </c>
      <c r="C279" s="1" t="s">
        <v>45</v>
      </c>
      <c r="D279" s="2">
        <v>45733</v>
      </c>
      <c r="E279" s="2">
        <v>45871</v>
      </c>
      <c r="F279" s="2">
        <v>45733</v>
      </c>
      <c r="G279" s="2">
        <v>45871</v>
      </c>
      <c r="H279" s="1" t="s">
        <v>20</v>
      </c>
      <c r="I279" s="1">
        <v>100</v>
      </c>
      <c r="J279" s="1">
        <v>2234435</v>
      </c>
      <c r="L279" s="1" t="s">
        <v>614</v>
      </c>
      <c r="M279" s="1" t="s">
        <v>614</v>
      </c>
      <c r="N279" s="1" t="s">
        <v>22</v>
      </c>
      <c r="O279" s="1">
        <v>1</v>
      </c>
      <c r="P279" s="1" t="b">
        <v>1</v>
      </c>
      <c r="R279" s="1">
        <f t="shared" si="17"/>
        <v>0</v>
      </c>
      <c r="T279" s="1">
        <f t="shared" si="15"/>
        <v>0</v>
      </c>
      <c r="U279" s="1">
        <f t="shared" si="16"/>
        <v>0</v>
      </c>
    </row>
    <row r="280" spans="1:21" x14ac:dyDescent="0.25">
      <c r="A280" s="1" t="s">
        <v>615</v>
      </c>
      <c r="B280" s="1" t="s">
        <v>600</v>
      </c>
      <c r="C280" s="1" t="s">
        <v>48</v>
      </c>
      <c r="D280" s="2">
        <v>45871</v>
      </c>
      <c r="E280" s="2">
        <v>45912</v>
      </c>
      <c r="F280" s="2">
        <v>45871</v>
      </c>
      <c r="G280" s="2">
        <v>45912</v>
      </c>
      <c r="H280" s="1" t="s">
        <v>20</v>
      </c>
      <c r="I280" s="1">
        <v>100</v>
      </c>
      <c r="J280" s="1">
        <v>670330</v>
      </c>
      <c r="L280" s="1" t="s">
        <v>616</v>
      </c>
      <c r="M280" s="1" t="s">
        <v>616</v>
      </c>
      <c r="N280" s="1" t="s">
        <v>22</v>
      </c>
      <c r="O280" s="1">
        <v>1</v>
      </c>
      <c r="P280" s="1" t="b">
        <v>1</v>
      </c>
      <c r="R280" s="1">
        <f t="shared" si="17"/>
        <v>0</v>
      </c>
      <c r="T280" s="1">
        <f t="shared" si="15"/>
        <v>0</v>
      </c>
      <c r="U280" s="1">
        <f t="shared" si="16"/>
        <v>0</v>
      </c>
    </row>
    <row r="281" spans="1:21" x14ac:dyDescent="0.25">
      <c r="A281" s="1" t="s">
        <v>617</v>
      </c>
      <c r="B281" s="1" t="s">
        <v>600</v>
      </c>
      <c r="C281" s="1" t="s">
        <v>51</v>
      </c>
      <c r="D281" s="2">
        <v>45912</v>
      </c>
      <c r="E281" s="2">
        <v>45939</v>
      </c>
      <c r="F281" s="2">
        <v>45912</v>
      </c>
      <c r="G281" s="2">
        <v>45939</v>
      </c>
      <c r="H281" s="1" t="s">
        <v>20</v>
      </c>
      <c r="I281" s="1">
        <v>100</v>
      </c>
      <c r="J281" s="1">
        <v>446887</v>
      </c>
      <c r="L281" s="1" t="s">
        <v>618</v>
      </c>
      <c r="M281" s="1" t="s">
        <v>618</v>
      </c>
      <c r="N281" s="1" t="s">
        <v>22</v>
      </c>
      <c r="O281" s="1">
        <v>1</v>
      </c>
      <c r="P281" s="1" t="b">
        <v>1</v>
      </c>
      <c r="R281" s="1">
        <f t="shared" si="17"/>
        <v>0</v>
      </c>
      <c r="T281" s="1">
        <f t="shared" si="15"/>
        <v>0</v>
      </c>
      <c r="U281" s="1">
        <f t="shared" si="16"/>
        <v>0</v>
      </c>
    </row>
    <row r="282" spans="1:21" x14ac:dyDescent="0.25">
      <c r="A282" s="1" t="s">
        <v>619</v>
      </c>
      <c r="B282" s="1" t="s">
        <v>620</v>
      </c>
      <c r="C282" s="1" t="s">
        <v>19</v>
      </c>
      <c r="D282" s="2">
        <v>44712</v>
      </c>
      <c r="E282" s="2">
        <v>44757</v>
      </c>
      <c r="F282" s="2">
        <v>44712</v>
      </c>
      <c r="G282" s="2">
        <v>44757</v>
      </c>
      <c r="H282" s="1" t="s">
        <v>20</v>
      </c>
      <c r="I282" s="1">
        <v>100</v>
      </c>
      <c r="J282" s="1">
        <v>18850861</v>
      </c>
      <c r="L282" s="1" t="s">
        <v>621</v>
      </c>
      <c r="M282" s="1" t="s">
        <v>621</v>
      </c>
      <c r="N282" s="1" t="s">
        <v>22</v>
      </c>
      <c r="O282" s="1">
        <v>1</v>
      </c>
      <c r="P282" s="1" t="b">
        <v>1</v>
      </c>
      <c r="R282" s="1">
        <f t="shared" si="17"/>
        <v>0</v>
      </c>
      <c r="T282" s="1">
        <f t="shared" si="15"/>
        <v>0</v>
      </c>
      <c r="U282" s="1">
        <f t="shared" si="16"/>
        <v>0</v>
      </c>
    </row>
    <row r="283" spans="1:21" x14ac:dyDescent="0.25">
      <c r="A283" s="1" t="s">
        <v>622</v>
      </c>
      <c r="B283" s="1" t="s">
        <v>620</v>
      </c>
      <c r="C283" s="1" t="s">
        <v>24</v>
      </c>
      <c r="D283" s="2">
        <v>44757</v>
      </c>
      <c r="E283" s="2">
        <v>44847</v>
      </c>
      <c r="F283" s="2">
        <v>44757</v>
      </c>
      <c r="G283" s="2">
        <v>44847</v>
      </c>
      <c r="H283" s="1" t="s">
        <v>20</v>
      </c>
      <c r="I283" s="1">
        <v>100</v>
      </c>
      <c r="J283" s="1">
        <v>37701722</v>
      </c>
      <c r="L283" s="1" t="s">
        <v>623</v>
      </c>
      <c r="M283" s="1" t="s">
        <v>623</v>
      </c>
      <c r="N283" s="1" t="s">
        <v>22</v>
      </c>
      <c r="O283" s="1">
        <v>1</v>
      </c>
      <c r="P283" s="1" t="b">
        <v>1</v>
      </c>
      <c r="R283" s="1">
        <f t="shared" si="17"/>
        <v>0</v>
      </c>
      <c r="T283" s="1">
        <f t="shared" si="15"/>
        <v>0</v>
      </c>
      <c r="U283" s="1">
        <f t="shared" si="16"/>
        <v>0</v>
      </c>
    </row>
    <row r="284" spans="1:21" x14ac:dyDescent="0.25">
      <c r="A284" s="1" t="s">
        <v>624</v>
      </c>
      <c r="B284" s="1" t="s">
        <v>620</v>
      </c>
      <c r="C284" s="1" t="s">
        <v>27</v>
      </c>
      <c r="D284" s="2">
        <v>44847</v>
      </c>
      <c r="E284" s="2">
        <v>44955</v>
      </c>
      <c r="F284" s="2">
        <v>44847</v>
      </c>
      <c r="G284" s="2">
        <v>44955</v>
      </c>
      <c r="H284" s="1" t="s">
        <v>20</v>
      </c>
      <c r="I284" s="1">
        <v>100</v>
      </c>
      <c r="J284" s="1">
        <v>45242066</v>
      </c>
      <c r="L284" s="1" t="s">
        <v>625</v>
      </c>
      <c r="M284" s="1" t="s">
        <v>625</v>
      </c>
      <c r="N284" s="1" t="s">
        <v>22</v>
      </c>
      <c r="O284" s="1">
        <v>1</v>
      </c>
      <c r="P284" s="1" t="b">
        <v>1</v>
      </c>
      <c r="Q284" s="1" t="s">
        <v>29</v>
      </c>
      <c r="R284" s="1">
        <f t="shared" si="17"/>
        <v>0</v>
      </c>
      <c r="T284" s="1">
        <f t="shared" si="15"/>
        <v>0</v>
      </c>
      <c r="U284" s="1">
        <f t="shared" si="16"/>
        <v>0</v>
      </c>
    </row>
    <row r="285" spans="1:21" x14ac:dyDescent="0.25">
      <c r="A285" s="1" t="s">
        <v>626</v>
      </c>
      <c r="B285" s="1" t="s">
        <v>620</v>
      </c>
      <c r="C285" s="1" t="s">
        <v>31</v>
      </c>
      <c r="D285" s="2">
        <v>44955</v>
      </c>
      <c r="E285" s="2">
        <v>45090</v>
      </c>
      <c r="F285" s="2">
        <v>44955</v>
      </c>
      <c r="G285" s="2">
        <v>45090</v>
      </c>
      <c r="H285" s="1" t="s">
        <v>20</v>
      </c>
      <c r="I285" s="1">
        <v>100</v>
      </c>
      <c r="J285" s="1">
        <v>56552583</v>
      </c>
      <c r="L285" s="1" t="s">
        <v>627</v>
      </c>
      <c r="M285" s="1" t="s">
        <v>627</v>
      </c>
      <c r="N285" s="1" t="s">
        <v>22</v>
      </c>
      <c r="O285" s="1">
        <v>1</v>
      </c>
      <c r="P285" s="1" t="b">
        <v>1</v>
      </c>
      <c r="R285" s="1">
        <f t="shared" si="17"/>
        <v>0</v>
      </c>
      <c r="T285" s="1">
        <f t="shared" si="15"/>
        <v>0</v>
      </c>
      <c r="U285" s="1">
        <f t="shared" si="16"/>
        <v>0</v>
      </c>
    </row>
    <row r="286" spans="1:21" x14ac:dyDescent="0.25">
      <c r="A286" s="1" t="s">
        <v>628</v>
      </c>
      <c r="B286" s="1" t="s">
        <v>620</v>
      </c>
      <c r="C286" s="1" t="s">
        <v>34</v>
      </c>
      <c r="D286" s="2">
        <v>45090</v>
      </c>
      <c r="E286" s="2">
        <v>45315</v>
      </c>
      <c r="F286" s="2">
        <v>45090</v>
      </c>
      <c r="G286" s="2">
        <v>45315</v>
      </c>
      <c r="H286" s="1" t="s">
        <v>20</v>
      </c>
      <c r="I286" s="1">
        <v>100</v>
      </c>
      <c r="J286" s="1">
        <v>94254305</v>
      </c>
      <c r="L286" s="1" t="s">
        <v>629</v>
      </c>
      <c r="M286" s="1" t="s">
        <v>629</v>
      </c>
      <c r="N286" s="1" t="s">
        <v>22</v>
      </c>
      <c r="O286" s="1">
        <v>1</v>
      </c>
      <c r="P286" s="1" t="b">
        <v>1</v>
      </c>
      <c r="Q286" s="1" t="s">
        <v>29</v>
      </c>
      <c r="R286" s="1">
        <f t="shared" si="17"/>
        <v>0</v>
      </c>
      <c r="T286" s="1">
        <f t="shared" si="15"/>
        <v>0</v>
      </c>
      <c r="U286" s="1">
        <f t="shared" si="16"/>
        <v>0</v>
      </c>
    </row>
    <row r="287" spans="1:21" x14ac:dyDescent="0.25">
      <c r="A287" s="1" t="s">
        <v>630</v>
      </c>
      <c r="B287" s="1" t="s">
        <v>620</v>
      </c>
      <c r="C287" s="1" t="s">
        <v>37</v>
      </c>
      <c r="D287" s="2">
        <v>45315</v>
      </c>
      <c r="E287" s="2">
        <v>45405</v>
      </c>
      <c r="F287" s="2">
        <v>45315</v>
      </c>
      <c r="G287" s="2">
        <v>45405</v>
      </c>
      <c r="H287" s="1" t="s">
        <v>20</v>
      </c>
      <c r="I287" s="1">
        <v>100</v>
      </c>
      <c r="J287" s="1">
        <v>37701722</v>
      </c>
      <c r="L287" s="1" t="s">
        <v>631</v>
      </c>
      <c r="M287" s="1" t="s">
        <v>631</v>
      </c>
      <c r="N287" s="1" t="s">
        <v>22</v>
      </c>
      <c r="O287" s="1">
        <v>1</v>
      </c>
      <c r="P287" s="1" t="b">
        <v>1</v>
      </c>
      <c r="R287" s="1">
        <f t="shared" si="17"/>
        <v>0</v>
      </c>
      <c r="T287" s="1">
        <f t="shared" si="15"/>
        <v>0</v>
      </c>
      <c r="U287" s="1">
        <f t="shared" si="16"/>
        <v>0</v>
      </c>
    </row>
    <row r="288" spans="1:21" x14ac:dyDescent="0.25">
      <c r="A288" s="1" t="s">
        <v>632</v>
      </c>
      <c r="B288" s="1" t="s">
        <v>620</v>
      </c>
      <c r="C288" s="1" t="s">
        <v>41</v>
      </c>
      <c r="D288" s="2">
        <v>45405</v>
      </c>
      <c r="E288" s="2">
        <v>45477</v>
      </c>
      <c r="F288" s="2">
        <v>45405</v>
      </c>
      <c r="G288" s="2">
        <v>45477</v>
      </c>
      <c r="H288" s="1" t="s">
        <v>20</v>
      </c>
      <c r="I288" s="1">
        <v>100</v>
      </c>
      <c r="J288" s="1">
        <v>30161377</v>
      </c>
      <c r="L288" s="1" t="s">
        <v>633</v>
      </c>
      <c r="M288" s="1" t="s">
        <v>633</v>
      </c>
      <c r="N288" s="1" t="s">
        <v>22</v>
      </c>
      <c r="O288" s="1">
        <v>1</v>
      </c>
      <c r="P288" s="1" t="b">
        <v>1</v>
      </c>
      <c r="R288" s="1">
        <f t="shared" si="17"/>
        <v>0</v>
      </c>
      <c r="T288" s="1">
        <f t="shared" si="15"/>
        <v>0</v>
      </c>
      <c r="U288" s="1">
        <f t="shared" si="16"/>
        <v>0</v>
      </c>
    </row>
    <row r="289" spans="1:21" x14ac:dyDescent="0.25">
      <c r="A289" s="1" t="s">
        <v>634</v>
      </c>
      <c r="B289" s="1" t="s">
        <v>620</v>
      </c>
      <c r="C289" s="1" t="s">
        <v>45</v>
      </c>
      <c r="D289" s="2">
        <v>45477</v>
      </c>
      <c r="E289" s="2">
        <v>45567</v>
      </c>
      <c r="F289" s="2">
        <v>45477</v>
      </c>
      <c r="G289" s="2">
        <v>45567</v>
      </c>
      <c r="H289" s="1" t="s">
        <v>20</v>
      </c>
      <c r="I289" s="1">
        <v>100</v>
      </c>
      <c r="J289" s="1">
        <v>37701722</v>
      </c>
      <c r="L289" s="1" t="s">
        <v>635</v>
      </c>
      <c r="M289" s="1" t="s">
        <v>635</v>
      </c>
      <c r="N289" s="1" t="s">
        <v>22</v>
      </c>
      <c r="O289" s="1">
        <v>1</v>
      </c>
      <c r="P289" s="1" t="b">
        <v>1</v>
      </c>
      <c r="R289" s="1">
        <f t="shared" si="17"/>
        <v>0</v>
      </c>
      <c r="T289" s="1">
        <f t="shared" si="15"/>
        <v>0</v>
      </c>
      <c r="U289" s="1">
        <f t="shared" si="16"/>
        <v>0</v>
      </c>
    </row>
    <row r="290" spans="1:21" x14ac:dyDescent="0.25">
      <c r="A290" s="1" t="s">
        <v>636</v>
      </c>
      <c r="B290" s="1" t="s">
        <v>620</v>
      </c>
      <c r="C290" s="1" t="s">
        <v>48</v>
      </c>
      <c r="D290" s="2">
        <v>45567</v>
      </c>
      <c r="E290" s="2">
        <v>45594</v>
      </c>
      <c r="F290" s="2">
        <v>45567</v>
      </c>
      <c r="G290" s="2">
        <v>45594</v>
      </c>
      <c r="H290" s="1" t="s">
        <v>20</v>
      </c>
      <c r="I290" s="1">
        <v>100</v>
      </c>
      <c r="J290" s="1">
        <v>11310516</v>
      </c>
      <c r="L290" s="1" t="s">
        <v>637</v>
      </c>
      <c r="M290" s="1" t="s">
        <v>637</v>
      </c>
      <c r="N290" s="1" t="s">
        <v>22</v>
      </c>
      <c r="O290" s="1">
        <v>1</v>
      </c>
      <c r="P290" s="1" t="b">
        <v>1</v>
      </c>
      <c r="R290" s="1">
        <f t="shared" si="17"/>
        <v>0</v>
      </c>
      <c r="T290" s="1">
        <f t="shared" si="15"/>
        <v>0</v>
      </c>
      <c r="U290" s="1">
        <f t="shared" si="16"/>
        <v>0</v>
      </c>
    </row>
    <row r="291" spans="1:21" x14ac:dyDescent="0.25">
      <c r="A291" s="1" t="s">
        <v>638</v>
      </c>
      <c r="B291" s="1" t="s">
        <v>620</v>
      </c>
      <c r="C291" s="1" t="s">
        <v>51</v>
      </c>
      <c r="D291" s="2">
        <v>45594</v>
      </c>
      <c r="E291" s="2">
        <v>45612</v>
      </c>
      <c r="F291" s="2">
        <v>45594</v>
      </c>
      <c r="G291" s="2">
        <v>45612</v>
      </c>
      <c r="H291" s="1" t="s">
        <v>20</v>
      </c>
      <c r="I291" s="1">
        <v>100</v>
      </c>
      <c r="J291" s="1">
        <v>7540344</v>
      </c>
      <c r="L291" s="1" t="s">
        <v>639</v>
      </c>
      <c r="M291" s="1" t="s">
        <v>639</v>
      </c>
      <c r="N291" s="1" t="s">
        <v>22</v>
      </c>
      <c r="O291" s="1">
        <v>1</v>
      </c>
      <c r="P291" s="1" t="b">
        <v>1</v>
      </c>
      <c r="R291" s="1">
        <f t="shared" si="17"/>
        <v>0</v>
      </c>
      <c r="T291" s="1">
        <f t="shared" si="15"/>
        <v>0</v>
      </c>
      <c r="U291" s="1">
        <f t="shared" si="16"/>
        <v>0</v>
      </c>
    </row>
    <row r="292" spans="1:21" x14ac:dyDescent="0.25">
      <c r="A292" s="1" t="s">
        <v>640</v>
      </c>
      <c r="B292" s="1" t="s">
        <v>641</v>
      </c>
      <c r="C292" s="1" t="s">
        <v>19</v>
      </c>
      <c r="D292" s="2">
        <v>44351</v>
      </c>
      <c r="E292" s="2">
        <v>44403</v>
      </c>
      <c r="F292" s="2">
        <v>44351</v>
      </c>
      <c r="G292" s="2">
        <v>44403</v>
      </c>
      <c r="H292" s="1" t="s">
        <v>20</v>
      </c>
      <c r="I292" s="1">
        <v>100</v>
      </c>
      <c r="J292" s="1">
        <v>20519768</v>
      </c>
      <c r="L292" s="1" t="s">
        <v>642</v>
      </c>
      <c r="M292" s="1" t="s">
        <v>642</v>
      </c>
      <c r="N292" s="1" t="s">
        <v>22</v>
      </c>
      <c r="O292" s="1">
        <v>1</v>
      </c>
      <c r="P292" s="1" t="b">
        <v>1</v>
      </c>
      <c r="R292" s="1">
        <f t="shared" si="17"/>
        <v>0</v>
      </c>
      <c r="T292" s="1">
        <f t="shared" si="15"/>
        <v>0</v>
      </c>
      <c r="U292" s="1">
        <f t="shared" si="16"/>
        <v>0</v>
      </c>
    </row>
    <row r="293" spans="1:21" x14ac:dyDescent="0.25">
      <c r="A293" s="1" t="s">
        <v>643</v>
      </c>
      <c r="B293" s="1" t="s">
        <v>641</v>
      </c>
      <c r="C293" s="1" t="s">
        <v>24</v>
      </c>
      <c r="D293" s="2">
        <v>44403</v>
      </c>
      <c r="E293" s="2">
        <v>44508</v>
      </c>
      <c r="F293" s="2">
        <v>44403</v>
      </c>
      <c r="G293" s="2">
        <v>44508</v>
      </c>
      <c r="H293" s="1" t="s">
        <v>20</v>
      </c>
      <c r="I293" s="1">
        <v>100</v>
      </c>
      <c r="J293" s="1">
        <v>41039536</v>
      </c>
      <c r="L293" s="1" t="s">
        <v>644</v>
      </c>
      <c r="M293" s="1" t="s">
        <v>644</v>
      </c>
      <c r="N293" s="1" t="s">
        <v>22</v>
      </c>
      <c r="O293" s="1">
        <v>1</v>
      </c>
      <c r="P293" s="1" t="b">
        <v>1</v>
      </c>
      <c r="R293" s="1">
        <f t="shared" si="17"/>
        <v>0</v>
      </c>
      <c r="T293" s="1">
        <f t="shared" si="15"/>
        <v>0</v>
      </c>
      <c r="U293" s="1">
        <f t="shared" si="16"/>
        <v>0</v>
      </c>
    </row>
    <row r="294" spans="1:21" x14ac:dyDescent="0.25">
      <c r="A294" s="1" t="s">
        <v>645</v>
      </c>
      <c r="B294" s="1" t="s">
        <v>641</v>
      </c>
      <c r="C294" s="1" t="s">
        <v>27</v>
      </c>
      <c r="D294" s="2">
        <v>44508</v>
      </c>
      <c r="E294" s="2">
        <v>44634</v>
      </c>
      <c r="F294" s="2">
        <v>44508</v>
      </c>
      <c r="G294" s="2">
        <v>44634</v>
      </c>
      <c r="H294" s="1" t="s">
        <v>20</v>
      </c>
      <c r="I294" s="1">
        <v>100</v>
      </c>
      <c r="J294" s="1">
        <v>49247443</v>
      </c>
      <c r="L294" s="1" t="s">
        <v>646</v>
      </c>
      <c r="M294" s="1" t="s">
        <v>646</v>
      </c>
      <c r="N294" s="1" t="s">
        <v>22</v>
      </c>
      <c r="O294" s="1">
        <v>1</v>
      </c>
      <c r="P294" s="1" t="b">
        <v>1</v>
      </c>
      <c r="Q294" s="1" t="s">
        <v>29</v>
      </c>
      <c r="R294" s="1">
        <f t="shared" si="17"/>
        <v>0</v>
      </c>
      <c r="T294" s="1">
        <f t="shared" si="15"/>
        <v>0</v>
      </c>
      <c r="U294" s="1">
        <f t="shared" si="16"/>
        <v>0</v>
      </c>
    </row>
    <row r="295" spans="1:21" x14ac:dyDescent="0.25">
      <c r="A295" s="1" t="s">
        <v>647</v>
      </c>
      <c r="B295" s="1" t="s">
        <v>641</v>
      </c>
      <c r="C295" s="1" t="s">
        <v>31</v>
      </c>
      <c r="D295" s="2">
        <v>44634</v>
      </c>
      <c r="E295" s="2">
        <v>44791</v>
      </c>
      <c r="F295" s="2">
        <v>44634</v>
      </c>
      <c r="G295" s="2">
        <v>44791</v>
      </c>
      <c r="H295" s="1" t="s">
        <v>20</v>
      </c>
      <c r="I295" s="1">
        <v>100</v>
      </c>
      <c r="J295" s="1">
        <v>61559304</v>
      </c>
      <c r="L295" s="1" t="s">
        <v>648</v>
      </c>
      <c r="M295" s="1" t="s">
        <v>648</v>
      </c>
      <c r="N295" s="1" t="s">
        <v>22</v>
      </c>
      <c r="O295" s="1">
        <v>1</v>
      </c>
      <c r="P295" s="1" t="b">
        <v>1</v>
      </c>
      <c r="R295" s="1">
        <f t="shared" si="17"/>
        <v>0</v>
      </c>
      <c r="T295" s="1">
        <f t="shared" si="15"/>
        <v>0</v>
      </c>
      <c r="U295" s="1">
        <f t="shared" si="16"/>
        <v>0</v>
      </c>
    </row>
    <row r="296" spans="1:21" x14ac:dyDescent="0.25">
      <c r="A296" s="1" t="s">
        <v>649</v>
      </c>
      <c r="B296" s="1" t="s">
        <v>641</v>
      </c>
      <c r="C296" s="1" t="s">
        <v>34</v>
      </c>
      <c r="D296" s="2">
        <v>44791</v>
      </c>
      <c r="E296" s="2">
        <v>45053</v>
      </c>
      <c r="F296" s="2">
        <v>44791</v>
      </c>
      <c r="G296" s="2">
        <v>45053</v>
      </c>
      <c r="H296" s="1" t="s">
        <v>20</v>
      </c>
      <c r="I296" s="1">
        <v>100</v>
      </c>
      <c r="J296" s="1">
        <v>102598840</v>
      </c>
      <c r="L296" s="1" t="s">
        <v>650</v>
      </c>
      <c r="M296" s="1" t="s">
        <v>650</v>
      </c>
      <c r="N296" s="1" t="s">
        <v>22</v>
      </c>
      <c r="O296" s="1">
        <v>1</v>
      </c>
      <c r="P296" s="1" t="b">
        <v>1</v>
      </c>
      <c r="Q296" s="1" t="s">
        <v>29</v>
      </c>
      <c r="R296" s="1">
        <f t="shared" ref="R296:R327" si="18">G296-E296</f>
        <v>0</v>
      </c>
      <c r="T296" s="1">
        <f t="shared" si="15"/>
        <v>0</v>
      </c>
      <c r="U296" s="1">
        <f t="shared" si="16"/>
        <v>0</v>
      </c>
    </row>
    <row r="297" spans="1:21" x14ac:dyDescent="0.25">
      <c r="A297" s="1" t="s">
        <v>651</v>
      </c>
      <c r="B297" s="1" t="s">
        <v>641</v>
      </c>
      <c r="C297" s="1" t="s">
        <v>37</v>
      </c>
      <c r="D297" s="2">
        <v>45053</v>
      </c>
      <c r="E297" s="2">
        <v>45158</v>
      </c>
      <c r="F297" s="2">
        <v>45053</v>
      </c>
      <c r="G297" s="2">
        <v>45158</v>
      </c>
      <c r="H297" s="1" t="s">
        <v>20</v>
      </c>
      <c r="I297" s="1">
        <v>100</v>
      </c>
      <c r="J297" s="1">
        <v>41039536</v>
      </c>
      <c r="L297" s="1" t="s">
        <v>652</v>
      </c>
      <c r="M297" s="1" t="s">
        <v>652</v>
      </c>
      <c r="N297" s="1" t="s">
        <v>22</v>
      </c>
      <c r="O297" s="1">
        <v>1</v>
      </c>
      <c r="P297" s="1" t="b">
        <v>1</v>
      </c>
      <c r="R297" s="1">
        <f t="shared" si="18"/>
        <v>0</v>
      </c>
      <c r="T297" s="1">
        <f t="shared" si="15"/>
        <v>0</v>
      </c>
      <c r="U297" s="1">
        <f t="shared" si="16"/>
        <v>0</v>
      </c>
    </row>
    <row r="298" spans="1:21" x14ac:dyDescent="0.25">
      <c r="A298" s="1" t="s">
        <v>653</v>
      </c>
      <c r="B298" s="1" t="s">
        <v>641</v>
      </c>
      <c r="C298" s="1" t="s">
        <v>41</v>
      </c>
      <c r="D298" s="2">
        <v>45158</v>
      </c>
      <c r="E298" s="2">
        <v>45242</v>
      </c>
      <c r="F298" s="2">
        <v>45158</v>
      </c>
      <c r="G298" s="2">
        <v>45242</v>
      </c>
      <c r="H298" s="1" t="s">
        <v>20</v>
      </c>
      <c r="I298" s="1">
        <v>100</v>
      </c>
      <c r="J298" s="1">
        <v>32831628</v>
      </c>
      <c r="L298" s="1" t="s">
        <v>654</v>
      </c>
      <c r="M298" s="1" t="s">
        <v>654</v>
      </c>
      <c r="N298" s="1" t="s">
        <v>22</v>
      </c>
      <c r="O298" s="1">
        <v>1</v>
      </c>
      <c r="P298" s="1" t="b">
        <v>1</v>
      </c>
      <c r="R298" s="1">
        <f t="shared" si="18"/>
        <v>0</v>
      </c>
      <c r="T298" s="1">
        <f t="shared" si="15"/>
        <v>0</v>
      </c>
      <c r="U298" s="1">
        <f t="shared" si="16"/>
        <v>0</v>
      </c>
    </row>
    <row r="299" spans="1:21" x14ac:dyDescent="0.25">
      <c r="A299" s="1" t="s">
        <v>655</v>
      </c>
      <c r="B299" s="1" t="s">
        <v>641</v>
      </c>
      <c r="C299" s="1" t="s">
        <v>45</v>
      </c>
      <c r="D299" s="2">
        <v>45242</v>
      </c>
      <c r="E299" s="2">
        <v>45347</v>
      </c>
      <c r="F299" s="2">
        <v>45242</v>
      </c>
      <c r="G299" s="2">
        <v>45347</v>
      </c>
      <c r="H299" s="1" t="s">
        <v>20</v>
      </c>
      <c r="I299" s="1">
        <v>100</v>
      </c>
      <c r="J299" s="1">
        <v>41039536</v>
      </c>
      <c r="L299" s="1" t="s">
        <v>656</v>
      </c>
      <c r="M299" s="1" t="s">
        <v>656</v>
      </c>
      <c r="N299" s="1" t="s">
        <v>22</v>
      </c>
      <c r="O299" s="1">
        <v>1</v>
      </c>
      <c r="P299" s="1" t="b">
        <v>1</v>
      </c>
      <c r="R299" s="1">
        <f t="shared" si="18"/>
        <v>0</v>
      </c>
      <c r="T299" s="1">
        <f t="shared" si="15"/>
        <v>0</v>
      </c>
      <c r="U299" s="1">
        <f t="shared" si="16"/>
        <v>0</v>
      </c>
    </row>
    <row r="300" spans="1:21" x14ac:dyDescent="0.25">
      <c r="A300" s="1" t="s">
        <v>657</v>
      </c>
      <c r="B300" s="1" t="s">
        <v>641</v>
      </c>
      <c r="C300" s="1" t="s">
        <v>48</v>
      </c>
      <c r="D300" s="2">
        <v>45347</v>
      </c>
      <c r="E300" s="2">
        <v>45378</v>
      </c>
      <c r="F300" s="2">
        <v>45347</v>
      </c>
      <c r="G300" s="2">
        <v>45378</v>
      </c>
      <c r="H300" s="1" t="s">
        <v>20</v>
      </c>
      <c r="I300" s="1">
        <v>100</v>
      </c>
      <c r="J300" s="1">
        <v>12311860</v>
      </c>
      <c r="L300" s="1" t="s">
        <v>658</v>
      </c>
      <c r="M300" s="1" t="s">
        <v>658</v>
      </c>
      <c r="N300" s="1" t="s">
        <v>22</v>
      </c>
      <c r="O300" s="1">
        <v>1</v>
      </c>
      <c r="P300" s="1" t="b">
        <v>1</v>
      </c>
      <c r="R300" s="1">
        <f t="shared" si="18"/>
        <v>0</v>
      </c>
      <c r="T300" s="1">
        <f t="shared" si="15"/>
        <v>0</v>
      </c>
      <c r="U300" s="1">
        <f t="shared" si="16"/>
        <v>0</v>
      </c>
    </row>
    <row r="301" spans="1:21" x14ac:dyDescent="0.25">
      <c r="A301" s="1" t="s">
        <v>659</v>
      </c>
      <c r="B301" s="1" t="s">
        <v>641</v>
      </c>
      <c r="C301" s="1" t="s">
        <v>51</v>
      </c>
      <c r="D301" s="2">
        <v>45378</v>
      </c>
      <c r="E301" s="2">
        <v>45399</v>
      </c>
      <c r="F301" s="2">
        <v>45378</v>
      </c>
      <c r="G301" s="2">
        <v>45399</v>
      </c>
      <c r="H301" s="1" t="s">
        <v>20</v>
      </c>
      <c r="I301" s="1">
        <v>100</v>
      </c>
      <c r="J301" s="1">
        <v>8207907</v>
      </c>
      <c r="L301" s="1" t="s">
        <v>660</v>
      </c>
      <c r="M301" s="1" t="s">
        <v>660</v>
      </c>
      <c r="N301" s="1" t="s">
        <v>22</v>
      </c>
      <c r="O301" s="1">
        <v>1</v>
      </c>
      <c r="P301" s="1" t="b">
        <v>1</v>
      </c>
      <c r="R301" s="1">
        <f t="shared" si="18"/>
        <v>0</v>
      </c>
      <c r="T301" s="1">
        <f t="shared" si="15"/>
        <v>0</v>
      </c>
      <c r="U301" s="1">
        <f t="shared" si="16"/>
        <v>0</v>
      </c>
    </row>
    <row r="302" spans="1:21" x14ac:dyDescent="0.25">
      <c r="A302" s="1" t="s">
        <v>661</v>
      </c>
      <c r="B302" s="1" t="s">
        <v>662</v>
      </c>
      <c r="C302" s="1" t="s">
        <v>19</v>
      </c>
      <c r="D302" s="2">
        <v>44750</v>
      </c>
      <c r="E302" s="2">
        <v>44804</v>
      </c>
      <c r="F302" s="2">
        <v>44750</v>
      </c>
      <c r="G302" s="2">
        <v>44804</v>
      </c>
      <c r="H302" s="1" t="s">
        <v>20</v>
      </c>
      <c r="I302" s="1">
        <v>100</v>
      </c>
      <c r="J302" s="1">
        <v>1340766</v>
      </c>
      <c r="L302" s="1" t="s">
        <v>663</v>
      </c>
      <c r="M302" s="1" t="s">
        <v>663</v>
      </c>
      <c r="N302" s="1" t="s">
        <v>22</v>
      </c>
      <c r="O302" s="1">
        <v>1</v>
      </c>
      <c r="P302" s="1" t="b">
        <v>1</v>
      </c>
      <c r="R302" s="1">
        <f t="shared" si="18"/>
        <v>0</v>
      </c>
      <c r="T302" s="1">
        <f t="shared" si="15"/>
        <v>0</v>
      </c>
      <c r="U302" s="1">
        <f t="shared" si="16"/>
        <v>0</v>
      </c>
    </row>
    <row r="303" spans="1:21" x14ac:dyDescent="0.25">
      <c r="A303" s="1" t="s">
        <v>664</v>
      </c>
      <c r="B303" s="1" t="s">
        <v>662</v>
      </c>
      <c r="C303" s="1" t="s">
        <v>24</v>
      </c>
      <c r="D303" s="2">
        <v>44804</v>
      </c>
      <c r="E303" s="2">
        <v>44912</v>
      </c>
      <c r="F303" s="2">
        <v>44804</v>
      </c>
      <c r="G303" s="2">
        <v>44912</v>
      </c>
      <c r="H303" s="1" t="s">
        <v>20</v>
      </c>
      <c r="I303" s="1">
        <v>100</v>
      </c>
      <c r="J303" s="1">
        <v>2681533</v>
      </c>
      <c r="L303" s="1" t="s">
        <v>665</v>
      </c>
      <c r="M303" s="1" t="s">
        <v>665</v>
      </c>
      <c r="N303" s="1" t="s">
        <v>22</v>
      </c>
      <c r="O303" s="1">
        <v>1</v>
      </c>
      <c r="P303" s="1" t="b">
        <v>1</v>
      </c>
      <c r="R303" s="1">
        <f t="shared" si="18"/>
        <v>0</v>
      </c>
      <c r="T303" s="1">
        <f t="shared" si="15"/>
        <v>0</v>
      </c>
      <c r="U303" s="1">
        <f t="shared" si="16"/>
        <v>0</v>
      </c>
    </row>
    <row r="304" spans="1:21" x14ac:dyDescent="0.25">
      <c r="A304" s="1" t="s">
        <v>666</v>
      </c>
      <c r="B304" s="1" t="s">
        <v>662</v>
      </c>
      <c r="C304" s="1" t="s">
        <v>27</v>
      </c>
      <c r="D304" s="2">
        <v>44912</v>
      </c>
      <c r="E304" s="2">
        <v>45041</v>
      </c>
      <c r="F304" s="2">
        <v>44912</v>
      </c>
      <c r="G304" s="2">
        <v>45041</v>
      </c>
      <c r="H304" s="1" t="s">
        <v>20</v>
      </c>
      <c r="I304" s="1">
        <v>100</v>
      </c>
      <c r="J304" s="1">
        <v>3217840</v>
      </c>
      <c r="L304" s="1" t="s">
        <v>667</v>
      </c>
      <c r="M304" s="1" t="s">
        <v>667</v>
      </c>
      <c r="N304" s="1" t="s">
        <v>22</v>
      </c>
      <c r="O304" s="1">
        <v>1</v>
      </c>
      <c r="P304" s="1" t="b">
        <v>1</v>
      </c>
      <c r="Q304" s="1" t="s">
        <v>29</v>
      </c>
      <c r="R304" s="1">
        <f t="shared" si="18"/>
        <v>0</v>
      </c>
      <c r="T304" s="1">
        <f t="shared" si="15"/>
        <v>0</v>
      </c>
      <c r="U304" s="1">
        <f t="shared" si="16"/>
        <v>0</v>
      </c>
    </row>
    <row r="305" spans="1:21" x14ac:dyDescent="0.25">
      <c r="A305" s="1" t="s">
        <v>668</v>
      </c>
      <c r="B305" s="1" t="s">
        <v>662</v>
      </c>
      <c r="C305" s="1" t="s">
        <v>31</v>
      </c>
      <c r="D305" s="2">
        <v>45041</v>
      </c>
      <c r="E305" s="2">
        <v>45203</v>
      </c>
      <c r="F305" s="2">
        <v>45041</v>
      </c>
      <c r="G305" s="2">
        <v>45203</v>
      </c>
      <c r="H305" s="1" t="s">
        <v>20</v>
      </c>
      <c r="I305" s="1">
        <v>100</v>
      </c>
      <c r="J305" s="1">
        <v>4022300</v>
      </c>
      <c r="L305" s="1" t="s">
        <v>669</v>
      </c>
      <c r="M305" s="1" t="s">
        <v>669</v>
      </c>
      <c r="N305" s="1" t="s">
        <v>22</v>
      </c>
      <c r="O305" s="1">
        <v>1</v>
      </c>
      <c r="P305" s="1" t="b">
        <v>1</v>
      </c>
      <c r="R305" s="1">
        <f t="shared" si="18"/>
        <v>0</v>
      </c>
      <c r="T305" s="1">
        <f t="shared" si="15"/>
        <v>0</v>
      </c>
      <c r="U305" s="1">
        <f t="shared" si="16"/>
        <v>0</v>
      </c>
    </row>
    <row r="306" spans="1:21" x14ac:dyDescent="0.25">
      <c r="A306" s="1" t="s">
        <v>670</v>
      </c>
      <c r="B306" s="1" t="s">
        <v>662</v>
      </c>
      <c r="C306" s="1" t="s">
        <v>34</v>
      </c>
      <c r="D306" s="2">
        <v>45203</v>
      </c>
      <c r="E306" s="2">
        <v>45473</v>
      </c>
      <c r="F306" s="2">
        <v>45203</v>
      </c>
      <c r="G306" s="2">
        <v>45473</v>
      </c>
      <c r="H306" s="1" t="s">
        <v>20</v>
      </c>
      <c r="I306" s="1">
        <v>100</v>
      </c>
      <c r="J306" s="1">
        <v>6703834</v>
      </c>
      <c r="L306" s="1" t="s">
        <v>671</v>
      </c>
      <c r="M306" s="1" t="s">
        <v>671</v>
      </c>
      <c r="N306" s="1" t="s">
        <v>22</v>
      </c>
      <c r="O306" s="1">
        <v>1</v>
      </c>
      <c r="P306" s="1" t="b">
        <v>1</v>
      </c>
      <c r="Q306" s="1" t="s">
        <v>29</v>
      </c>
      <c r="R306" s="1">
        <f t="shared" si="18"/>
        <v>0</v>
      </c>
      <c r="T306" s="1">
        <f t="shared" si="15"/>
        <v>0</v>
      </c>
      <c r="U306" s="1">
        <f t="shared" si="16"/>
        <v>0</v>
      </c>
    </row>
    <row r="307" spans="1:21" x14ac:dyDescent="0.25">
      <c r="A307" s="1" t="s">
        <v>672</v>
      </c>
      <c r="B307" s="1" t="s">
        <v>662</v>
      </c>
      <c r="C307" s="1" t="s">
        <v>37</v>
      </c>
      <c r="D307" s="2">
        <v>45473</v>
      </c>
      <c r="E307" s="2">
        <v>45581</v>
      </c>
      <c r="F307" s="2">
        <v>45473</v>
      </c>
      <c r="G307" s="2">
        <v>45581</v>
      </c>
      <c r="H307" s="1" t="s">
        <v>20</v>
      </c>
      <c r="I307" s="1">
        <v>100</v>
      </c>
      <c r="J307" s="1">
        <v>2681533</v>
      </c>
      <c r="L307" s="1" t="s">
        <v>673</v>
      </c>
      <c r="M307" s="1" t="s">
        <v>673</v>
      </c>
      <c r="N307" s="1" t="s">
        <v>22</v>
      </c>
      <c r="O307" s="1">
        <v>1</v>
      </c>
      <c r="P307" s="1" t="b">
        <v>1</v>
      </c>
      <c r="R307" s="1">
        <f t="shared" si="18"/>
        <v>0</v>
      </c>
      <c r="T307" s="1">
        <f t="shared" si="15"/>
        <v>0</v>
      </c>
      <c r="U307" s="1">
        <f t="shared" si="16"/>
        <v>0</v>
      </c>
    </row>
    <row r="308" spans="1:21" x14ac:dyDescent="0.25">
      <c r="A308" s="1" t="s">
        <v>674</v>
      </c>
      <c r="B308" s="1" t="s">
        <v>662</v>
      </c>
      <c r="C308" s="1" t="s">
        <v>41</v>
      </c>
      <c r="D308" s="2">
        <v>45581</v>
      </c>
      <c r="E308" s="2">
        <v>45667</v>
      </c>
      <c r="F308" s="2">
        <v>45581</v>
      </c>
      <c r="G308" s="2">
        <v>45667</v>
      </c>
      <c r="H308" s="1" t="s">
        <v>20</v>
      </c>
      <c r="I308" s="1">
        <v>100</v>
      </c>
      <c r="J308" s="1">
        <v>2145226</v>
      </c>
      <c r="L308" s="1" t="s">
        <v>675</v>
      </c>
      <c r="M308" s="1" t="s">
        <v>675</v>
      </c>
      <c r="N308" s="1" t="s">
        <v>22</v>
      </c>
      <c r="O308" s="1">
        <v>1</v>
      </c>
      <c r="P308" s="1" t="b">
        <v>1</v>
      </c>
      <c r="R308" s="1">
        <f t="shared" si="18"/>
        <v>0</v>
      </c>
      <c r="T308" s="1">
        <f t="shared" si="15"/>
        <v>0</v>
      </c>
      <c r="U308" s="1">
        <f t="shared" si="16"/>
        <v>0</v>
      </c>
    </row>
    <row r="309" spans="1:21" x14ac:dyDescent="0.25">
      <c r="A309" s="1" t="s">
        <v>676</v>
      </c>
      <c r="B309" s="1" t="s">
        <v>662</v>
      </c>
      <c r="C309" s="1" t="s">
        <v>45</v>
      </c>
      <c r="D309" s="2">
        <v>45667</v>
      </c>
      <c r="E309" s="2">
        <v>45775</v>
      </c>
      <c r="F309" s="2">
        <v>45667</v>
      </c>
      <c r="G309" s="2">
        <v>45775</v>
      </c>
      <c r="H309" s="1" t="s">
        <v>20</v>
      </c>
      <c r="I309" s="1">
        <v>100</v>
      </c>
      <c r="J309" s="1">
        <v>2681533</v>
      </c>
      <c r="L309" s="1" t="s">
        <v>677</v>
      </c>
      <c r="M309" s="1" t="s">
        <v>677</v>
      </c>
      <c r="N309" s="1" t="s">
        <v>22</v>
      </c>
      <c r="O309" s="1">
        <v>1</v>
      </c>
      <c r="P309" s="1" t="b">
        <v>1</v>
      </c>
      <c r="R309" s="1">
        <f t="shared" si="18"/>
        <v>0</v>
      </c>
      <c r="T309" s="1">
        <f t="shared" si="15"/>
        <v>0</v>
      </c>
      <c r="U309" s="1">
        <f t="shared" si="16"/>
        <v>0</v>
      </c>
    </row>
    <row r="310" spans="1:21" x14ac:dyDescent="0.25">
      <c r="A310" s="1" t="s">
        <v>678</v>
      </c>
      <c r="B310" s="1" t="s">
        <v>662</v>
      </c>
      <c r="C310" s="1" t="s">
        <v>48</v>
      </c>
      <c r="D310" s="2">
        <v>45775</v>
      </c>
      <c r="E310" s="2">
        <v>45807</v>
      </c>
      <c r="F310" s="2">
        <v>45775</v>
      </c>
      <c r="G310" s="2">
        <v>45807</v>
      </c>
      <c r="H310" s="1" t="s">
        <v>20</v>
      </c>
      <c r="I310" s="1">
        <v>100</v>
      </c>
      <c r="J310" s="1">
        <v>804460</v>
      </c>
      <c r="L310" s="1" t="s">
        <v>679</v>
      </c>
      <c r="M310" s="1" t="s">
        <v>679</v>
      </c>
      <c r="N310" s="1" t="s">
        <v>22</v>
      </c>
      <c r="O310" s="1">
        <v>1</v>
      </c>
      <c r="P310" s="1" t="b">
        <v>1</v>
      </c>
      <c r="R310" s="1">
        <f t="shared" si="18"/>
        <v>0</v>
      </c>
      <c r="T310" s="1">
        <f t="shared" si="15"/>
        <v>0</v>
      </c>
      <c r="U310" s="1">
        <f t="shared" si="16"/>
        <v>0</v>
      </c>
    </row>
    <row r="311" spans="1:21" x14ac:dyDescent="0.25">
      <c r="A311" s="1" t="s">
        <v>680</v>
      </c>
      <c r="B311" s="1" t="s">
        <v>662</v>
      </c>
      <c r="C311" s="1" t="s">
        <v>51</v>
      </c>
      <c r="D311" s="2">
        <v>45807</v>
      </c>
      <c r="E311" s="2">
        <v>45828</v>
      </c>
      <c r="F311" s="2">
        <v>45807</v>
      </c>
      <c r="G311" s="2">
        <v>45828</v>
      </c>
      <c r="H311" s="1" t="s">
        <v>20</v>
      </c>
      <c r="I311" s="1">
        <v>100</v>
      </c>
      <c r="J311" s="1">
        <v>536306</v>
      </c>
      <c r="L311" s="1" t="s">
        <v>681</v>
      </c>
      <c r="M311" s="1" t="s">
        <v>681</v>
      </c>
      <c r="N311" s="1" t="s">
        <v>22</v>
      </c>
      <c r="O311" s="1">
        <v>1</v>
      </c>
      <c r="P311" s="1" t="b">
        <v>1</v>
      </c>
      <c r="R311" s="1">
        <f t="shared" si="18"/>
        <v>0</v>
      </c>
      <c r="T311" s="1">
        <f t="shared" si="15"/>
        <v>0</v>
      </c>
      <c r="U311" s="1">
        <f t="shared" si="16"/>
        <v>0</v>
      </c>
    </row>
    <row r="312" spans="1:21" x14ac:dyDescent="0.25">
      <c r="A312" s="1" t="s">
        <v>682</v>
      </c>
      <c r="B312" s="1" t="s">
        <v>683</v>
      </c>
      <c r="C312" s="1" t="s">
        <v>19</v>
      </c>
      <c r="D312" s="2">
        <v>44278</v>
      </c>
      <c r="E312" s="2">
        <v>44326</v>
      </c>
      <c r="F312" s="2">
        <v>44278</v>
      </c>
      <c r="G312" s="2">
        <v>44326</v>
      </c>
      <c r="H312" s="1" t="s">
        <v>20</v>
      </c>
      <c r="I312" s="1">
        <v>100</v>
      </c>
      <c r="J312" s="1">
        <v>16272384</v>
      </c>
      <c r="L312" s="1" t="s">
        <v>684</v>
      </c>
      <c r="M312" s="1" t="s">
        <v>684</v>
      </c>
      <c r="N312" s="1" t="s">
        <v>22</v>
      </c>
      <c r="O312" s="1">
        <v>1</v>
      </c>
      <c r="P312" s="1" t="b">
        <v>1</v>
      </c>
      <c r="R312" s="1">
        <f t="shared" si="18"/>
        <v>0</v>
      </c>
      <c r="T312" s="1">
        <f t="shared" si="15"/>
        <v>0</v>
      </c>
      <c r="U312" s="1">
        <f t="shared" si="16"/>
        <v>0</v>
      </c>
    </row>
    <row r="313" spans="1:21" x14ac:dyDescent="0.25">
      <c r="A313" s="1" t="s">
        <v>685</v>
      </c>
      <c r="B313" s="1" t="s">
        <v>683</v>
      </c>
      <c r="C313" s="1" t="s">
        <v>24</v>
      </c>
      <c r="D313" s="2">
        <v>44326</v>
      </c>
      <c r="E313" s="2">
        <v>44422</v>
      </c>
      <c r="F313" s="2">
        <v>44326</v>
      </c>
      <c r="G313" s="2">
        <v>44422</v>
      </c>
      <c r="H313" s="1" t="s">
        <v>20</v>
      </c>
      <c r="I313" s="1">
        <v>100</v>
      </c>
      <c r="J313" s="1">
        <v>32544769</v>
      </c>
      <c r="L313" s="1" t="s">
        <v>686</v>
      </c>
      <c r="M313" s="1" t="s">
        <v>686</v>
      </c>
      <c r="N313" s="1" t="s">
        <v>22</v>
      </c>
      <c r="O313" s="1">
        <v>1</v>
      </c>
      <c r="P313" s="1" t="b">
        <v>1</v>
      </c>
      <c r="R313" s="1">
        <f t="shared" si="18"/>
        <v>0</v>
      </c>
      <c r="T313" s="1">
        <f t="shared" si="15"/>
        <v>0</v>
      </c>
      <c r="U313" s="1">
        <f t="shared" si="16"/>
        <v>0</v>
      </c>
    </row>
    <row r="314" spans="1:21" x14ac:dyDescent="0.25">
      <c r="A314" s="1" t="s">
        <v>687</v>
      </c>
      <c r="B314" s="1" t="s">
        <v>683</v>
      </c>
      <c r="C314" s="1" t="s">
        <v>27</v>
      </c>
      <c r="D314" s="2">
        <v>44422</v>
      </c>
      <c r="E314" s="2">
        <v>44537</v>
      </c>
      <c r="F314" s="2">
        <v>44422</v>
      </c>
      <c r="G314" s="2">
        <v>44537</v>
      </c>
      <c r="H314" s="1" t="s">
        <v>20</v>
      </c>
      <c r="I314" s="1">
        <v>100</v>
      </c>
      <c r="J314" s="1">
        <v>39053722</v>
      </c>
      <c r="L314" s="1" t="s">
        <v>688</v>
      </c>
      <c r="M314" s="1" t="s">
        <v>688</v>
      </c>
      <c r="N314" s="1" t="s">
        <v>22</v>
      </c>
      <c r="O314" s="1">
        <v>1</v>
      </c>
      <c r="P314" s="1" t="b">
        <v>1</v>
      </c>
      <c r="Q314" s="1" t="s">
        <v>29</v>
      </c>
      <c r="R314" s="1">
        <f t="shared" si="18"/>
        <v>0</v>
      </c>
      <c r="T314" s="1">
        <f t="shared" si="15"/>
        <v>0</v>
      </c>
      <c r="U314" s="1">
        <f t="shared" si="16"/>
        <v>0</v>
      </c>
    </row>
    <row r="315" spans="1:21" x14ac:dyDescent="0.25">
      <c r="A315" s="1" t="s">
        <v>689</v>
      </c>
      <c r="B315" s="1" t="s">
        <v>683</v>
      </c>
      <c r="C315" s="1" t="s">
        <v>31</v>
      </c>
      <c r="D315" s="2">
        <v>44537</v>
      </c>
      <c r="E315" s="2">
        <v>44681</v>
      </c>
      <c r="F315" s="2">
        <v>44537</v>
      </c>
      <c r="G315" s="2">
        <v>44681</v>
      </c>
      <c r="H315" s="1" t="s">
        <v>20</v>
      </c>
      <c r="I315" s="1">
        <v>100</v>
      </c>
      <c r="J315" s="1">
        <v>48817153</v>
      </c>
      <c r="L315" s="1" t="s">
        <v>690</v>
      </c>
      <c r="M315" s="1" t="s">
        <v>690</v>
      </c>
      <c r="N315" s="1" t="s">
        <v>22</v>
      </c>
      <c r="O315" s="1">
        <v>1</v>
      </c>
      <c r="P315" s="1" t="b">
        <v>1</v>
      </c>
      <c r="R315" s="1">
        <f t="shared" si="18"/>
        <v>0</v>
      </c>
      <c r="T315" s="1">
        <f t="shared" si="15"/>
        <v>0</v>
      </c>
      <c r="U315" s="1">
        <f t="shared" si="16"/>
        <v>0</v>
      </c>
    </row>
    <row r="316" spans="1:21" x14ac:dyDescent="0.25">
      <c r="A316" s="1" t="s">
        <v>691</v>
      </c>
      <c r="B316" s="1" t="s">
        <v>683</v>
      </c>
      <c r="C316" s="1" t="s">
        <v>34</v>
      </c>
      <c r="D316" s="2">
        <v>44681</v>
      </c>
      <c r="E316" s="2">
        <v>44921</v>
      </c>
      <c r="F316" s="2">
        <v>44681</v>
      </c>
      <c r="G316" s="2">
        <v>44921</v>
      </c>
      <c r="H316" s="1" t="s">
        <v>20</v>
      </c>
      <c r="I316" s="1">
        <v>100</v>
      </c>
      <c r="J316" s="1">
        <v>81361922</v>
      </c>
      <c r="L316" s="1" t="s">
        <v>692</v>
      </c>
      <c r="M316" s="1" t="s">
        <v>692</v>
      </c>
      <c r="N316" s="1" t="s">
        <v>22</v>
      </c>
      <c r="O316" s="1">
        <v>1</v>
      </c>
      <c r="P316" s="1" t="b">
        <v>1</v>
      </c>
      <c r="Q316" s="1" t="s">
        <v>29</v>
      </c>
      <c r="R316" s="1">
        <f t="shared" si="18"/>
        <v>0</v>
      </c>
      <c r="T316" s="1">
        <f t="shared" si="15"/>
        <v>0</v>
      </c>
      <c r="U316" s="1">
        <f t="shared" si="16"/>
        <v>0</v>
      </c>
    </row>
    <row r="317" spans="1:21" x14ac:dyDescent="0.25">
      <c r="A317" s="1" t="s">
        <v>693</v>
      </c>
      <c r="B317" s="1" t="s">
        <v>683</v>
      </c>
      <c r="C317" s="1" t="s">
        <v>37</v>
      </c>
      <c r="D317" s="2">
        <v>44921</v>
      </c>
      <c r="E317" s="2">
        <v>45017</v>
      </c>
      <c r="F317" s="2">
        <v>44921</v>
      </c>
      <c r="G317" s="2">
        <v>45017</v>
      </c>
      <c r="H317" s="1" t="s">
        <v>20</v>
      </c>
      <c r="I317" s="1">
        <v>100</v>
      </c>
      <c r="J317" s="1">
        <v>32544769</v>
      </c>
      <c r="L317" s="1" t="s">
        <v>694</v>
      </c>
      <c r="M317" s="1" t="s">
        <v>694</v>
      </c>
      <c r="N317" s="1" t="s">
        <v>22</v>
      </c>
      <c r="O317" s="1">
        <v>1</v>
      </c>
      <c r="P317" s="1" t="b">
        <v>1</v>
      </c>
      <c r="R317" s="1">
        <f t="shared" si="18"/>
        <v>0</v>
      </c>
      <c r="T317" s="1">
        <f t="shared" si="15"/>
        <v>0</v>
      </c>
      <c r="U317" s="1">
        <f t="shared" si="16"/>
        <v>0</v>
      </c>
    </row>
    <row r="318" spans="1:21" x14ac:dyDescent="0.25">
      <c r="A318" s="1" t="s">
        <v>695</v>
      </c>
      <c r="B318" s="1" t="s">
        <v>683</v>
      </c>
      <c r="C318" s="1" t="s">
        <v>41</v>
      </c>
      <c r="D318" s="2">
        <v>45017</v>
      </c>
      <c r="E318" s="2">
        <v>45093</v>
      </c>
      <c r="F318" s="2">
        <v>45017</v>
      </c>
      <c r="G318" s="2">
        <v>45093</v>
      </c>
      <c r="H318" s="1" t="s">
        <v>20</v>
      </c>
      <c r="I318" s="1">
        <v>100</v>
      </c>
      <c r="J318" s="1">
        <v>26035815</v>
      </c>
      <c r="L318" s="1" t="s">
        <v>696</v>
      </c>
      <c r="M318" s="1" t="s">
        <v>696</v>
      </c>
      <c r="N318" s="1" t="s">
        <v>22</v>
      </c>
      <c r="O318" s="1">
        <v>1</v>
      </c>
      <c r="P318" s="1" t="b">
        <v>1</v>
      </c>
      <c r="R318" s="1">
        <f t="shared" si="18"/>
        <v>0</v>
      </c>
      <c r="T318" s="1">
        <f t="shared" si="15"/>
        <v>0</v>
      </c>
      <c r="U318" s="1">
        <f t="shared" si="16"/>
        <v>0</v>
      </c>
    </row>
    <row r="319" spans="1:21" x14ac:dyDescent="0.25">
      <c r="A319" s="1" t="s">
        <v>697</v>
      </c>
      <c r="B319" s="1" t="s">
        <v>683</v>
      </c>
      <c r="C319" s="1" t="s">
        <v>45</v>
      </c>
      <c r="D319" s="2">
        <v>45093</v>
      </c>
      <c r="E319" s="2">
        <v>45189</v>
      </c>
      <c r="F319" s="2">
        <v>45093</v>
      </c>
      <c r="G319" s="2">
        <v>45189</v>
      </c>
      <c r="H319" s="1" t="s">
        <v>20</v>
      </c>
      <c r="I319" s="1">
        <v>100</v>
      </c>
      <c r="J319" s="1">
        <v>32544769</v>
      </c>
      <c r="L319" s="1" t="s">
        <v>698</v>
      </c>
      <c r="M319" s="1" t="s">
        <v>698</v>
      </c>
      <c r="N319" s="1" t="s">
        <v>22</v>
      </c>
      <c r="O319" s="1">
        <v>1</v>
      </c>
      <c r="P319" s="1" t="b">
        <v>1</v>
      </c>
      <c r="R319" s="1">
        <f t="shared" si="18"/>
        <v>0</v>
      </c>
      <c r="T319" s="1">
        <f t="shared" si="15"/>
        <v>0</v>
      </c>
      <c r="U319" s="1">
        <f t="shared" si="16"/>
        <v>0</v>
      </c>
    </row>
    <row r="320" spans="1:21" x14ac:dyDescent="0.25">
      <c r="A320" s="1" t="s">
        <v>699</v>
      </c>
      <c r="B320" s="1" t="s">
        <v>683</v>
      </c>
      <c r="C320" s="1" t="s">
        <v>48</v>
      </c>
      <c r="D320" s="2">
        <v>45189</v>
      </c>
      <c r="E320" s="2">
        <v>45217</v>
      </c>
      <c r="F320" s="2">
        <v>45189</v>
      </c>
      <c r="G320" s="2">
        <v>45217</v>
      </c>
      <c r="H320" s="1" t="s">
        <v>20</v>
      </c>
      <c r="I320" s="1">
        <v>100</v>
      </c>
      <c r="J320" s="1">
        <v>9763430</v>
      </c>
      <c r="L320" s="1" t="s">
        <v>700</v>
      </c>
      <c r="M320" s="1" t="s">
        <v>700</v>
      </c>
      <c r="N320" s="1" t="s">
        <v>22</v>
      </c>
      <c r="O320" s="1">
        <v>1</v>
      </c>
      <c r="P320" s="1" t="b">
        <v>1</v>
      </c>
      <c r="R320" s="1">
        <f t="shared" si="18"/>
        <v>0</v>
      </c>
      <c r="T320" s="1">
        <f t="shared" si="15"/>
        <v>0</v>
      </c>
      <c r="U320" s="1">
        <f t="shared" si="16"/>
        <v>0</v>
      </c>
    </row>
    <row r="321" spans="1:21" x14ac:dyDescent="0.25">
      <c r="A321" s="1" t="s">
        <v>701</v>
      </c>
      <c r="B321" s="1" t="s">
        <v>683</v>
      </c>
      <c r="C321" s="1" t="s">
        <v>51</v>
      </c>
      <c r="D321" s="2">
        <v>45217</v>
      </c>
      <c r="E321" s="2">
        <v>45236</v>
      </c>
      <c r="F321" s="2">
        <v>45217</v>
      </c>
      <c r="G321" s="2">
        <v>45236</v>
      </c>
      <c r="H321" s="1" t="s">
        <v>20</v>
      </c>
      <c r="I321" s="1">
        <v>100</v>
      </c>
      <c r="J321" s="1">
        <v>6508953</v>
      </c>
      <c r="L321" s="1" t="s">
        <v>702</v>
      </c>
      <c r="M321" s="1" t="s">
        <v>702</v>
      </c>
      <c r="N321" s="1" t="s">
        <v>22</v>
      </c>
      <c r="O321" s="1">
        <v>1</v>
      </c>
      <c r="P321" s="1" t="b">
        <v>1</v>
      </c>
      <c r="R321" s="1">
        <f t="shared" si="18"/>
        <v>0</v>
      </c>
      <c r="T321" s="1">
        <f t="shared" si="15"/>
        <v>0</v>
      </c>
      <c r="U321" s="1">
        <f t="shared" si="16"/>
        <v>0</v>
      </c>
    </row>
    <row r="322" spans="1:21" x14ac:dyDescent="0.25">
      <c r="A322" s="1" t="s">
        <v>703</v>
      </c>
      <c r="B322" s="1" t="s">
        <v>704</v>
      </c>
      <c r="C322" s="1" t="s">
        <v>19</v>
      </c>
      <c r="D322" s="2">
        <v>44362</v>
      </c>
      <c r="E322" s="2">
        <v>44396</v>
      </c>
      <c r="F322" s="2">
        <v>44362</v>
      </c>
      <c r="G322" s="2">
        <v>44396</v>
      </c>
      <c r="H322" s="1" t="s">
        <v>20</v>
      </c>
      <c r="I322" s="1">
        <v>100</v>
      </c>
      <c r="J322" s="1">
        <v>14224918</v>
      </c>
      <c r="L322" s="1" t="s">
        <v>705</v>
      </c>
      <c r="M322" s="1" t="s">
        <v>705</v>
      </c>
      <c r="N322" s="1" t="s">
        <v>22</v>
      </c>
      <c r="O322" s="1">
        <v>1</v>
      </c>
      <c r="P322" s="1" t="b">
        <v>1</v>
      </c>
      <c r="R322" s="1">
        <f t="shared" si="18"/>
        <v>0</v>
      </c>
      <c r="T322" s="1">
        <f t="shared" si="15"/>
        <v>0</v>
      </c>
      <c r="U322" s="1">
        <f t="shared" si="16"/>
        <v>0</v>
      </c>
    </row>
    <row r="323" spans="1:21" x14ac:dyDescent="0.25">
      <c r="A323" s="1" t="s">
        <v>706</v>
      </c>
      <c r="B323" s="1" t="s">
        <v>704</v>
      </c>
      <c r="C323" s="1" t="s">
        <v>24</v>
      </c>
      <c r="D323" s="2">
        <v>44396</v>
      </c>
      <c r="E323" s="2">
        <v>44465</v>
      </c>
      <c r="F323" s="2">
        <v>44396</v>
      </c>
      <c r="G323" s="2">
        <v>44465</v>
      </c>
      <c r="H323" s="1" t="s">
        <v>20</v>
      </c>
      <c r="I323" s="1">
        <v>100</v>
      </c>
      <c r="J323" s="1">
        <v>28449837</v>
      </c>
      <c r="L323" s="1" t="s">
        <v>707</v>
      </c>
      <c r="M323" s="1" t="s">
        <v>707</v>
      </c>
      <c r="N323" s="1" t="s">
        <v>22</v>
      </c>
      <c r="O323" s="1">
        <v>1</v>
      </c>
      <c r="P323" s="1" t="b">
        <v>1</v>
      </c>
      <c r="R323" s="1">
        <f t="shared" si="18"/>
        <v>0</v>
      </c>
      <c r="T323" s="1">
        <f t="shared" ref="T323:T386" si="19">IF(S323&gt;0,1,0)</f>
        <v>0</v>
      </c>
      <c r="U323" s="1">
        <f t="shared" ref="U323:U386" si="20">IF(S323&gt;0,S323,0)</f>
        <v>0</v>
      </c>
    </row>
    <row r="324" spans="1:21" x14ac:dyDescent="0.25">
      <c r="A324" s="1" t="s">
        <v>708</v>
      </c>
      <c r="B324" s="1" t="s">
        <v>704</v>
      </c>
      <c r="C324" s="1" t="s">
        <v>27</v>
      </c>
      <c r="D324" s="2">
        <v>44465</v>
      </c>
      <c r="E324" s="2">
        <v>44547</v>
      </c>
      <c r="F324" s="2">
        <v>44465</v>
      </c>
      <c r="G324" s="2">
        <v>44547</v>
      </c>
      <c r="H324" s="1" t="s">
        <v>20</v>
      </c>
      <c r="I324" s="1">
        <v>100</v>
      </c>
      <c r="J324" s="1">
        <v>34139804</v>
      </c>
      <c r="L324" s="1" t="s">
        <v>709</v>
      </c>
      <c r="M324" s="1" t="s">
        <v>709</v>
      </c>
      <c r="N324" s="1" t="s">
        <v>22</v>
      </c>
      <c r="O324" s="1">
        <v>1</v>
      </c>
      <c r="P324" s="1" t="b">
        <v>1</v>
      </c>
      <c r="Q324" s="1" t="s">
        <v>29</v>
      </c>
      <c r="R324" s="1">
        <f t="shared" si="18"/>
        <v>0</v>
      </c>
      <c r="T324" s="1">
        <f t="shared" si="19"/>
        <v>0</v>
      </c>
      <c r="U324" s="1">
        <f t="shared" si="20"/>
        <v>0</v>
      </c>
    </row>
    <row r="325" spans="1:21" x14ac:dyDescent="0.25">
      <c r="A325" s="1" t="s">
        <v>710</v>
      </c>
      <c r="B325" s="1" t="s">
        <v>704</v>
      </c>
      <c r="C325" s="1" t="s">
        <v>31</v>
      </c>
      <c r="D325" s="2">
        <v>44547</v>
      </c>
      <c r="E325" s="2">
        <v>44650</v>
      </c>
      <c r="F325" s="2">
        <v>44547</v>
      </c>
      <c r="G325" s="2">
        <v>44650</v>
      </c>
      <c r="H325" s="1" t="s">
        <v>20</v>
      </c>
      <c r="I325" s="1">
        <v>100</v>
      </c>
      <c r="J325" s="1">
        <v>42674755</v>
      </c>
      <c r="L325" s="1" t="s">
        <v>711</v>
      </c>
      <c r="M325" s="1" t="s">
        <v>711</v>
      </c>
      <c r="N325" s="1" t="s">
        <v>22</v>
      </c>
      <c r="O325" s="1">
        <v>1</v>
      </c>
      <c r="P325" s="1" t="b">
        <v>1</v>
      </c>
      <c r="R325" s="1">
        <f t="shared" si="18"/>
        <v>0</v>
      </c>
      <c r="T325" s="1">
        <f t="shared" si="19"/>
        <v>0</v>
      </c>
      <c r="U325" s="1">
        <f t="shared" si="20"/>
        <v>0</v>
      </c>
    </row>
    <row r="326" spans="1:21" x14ac:dyDescent="0.25">
      <c r="A326" s="1" t="s">
        <v>712</v>
      </c>
      <c r="B326" s="1" t="s">
        <v>704</v>
      </c>
      <c r="C326" s="1" t="s">
        <v>34</v>
      </c>
      <c r="D326" s="2">
        <v>44650</v>
      </c>
      <c r="E326" s="2">
        <v>44822</v>
      </c>
      <c r="F326" s="2">
        <v>44650</v>
      </c>
      <c r="G326" s="2">
        <v>44822</v>
      </c>
      <c r="H326" s="1" t="s">
        <v>20</v>
      </c>
      <c r="I326" s="1">
        <v>100</v>
      </c>
      <c r="J326" s="1">
        <v>71124593</v>
      </c>
      <c r="L326" s="1" t="s">
        <v>713</v>
      </c>
      <c r="M326" s="1" t="s">
        <v>713</v>
      </c>
      <c r="N326" s="1" t="s">
        <v>22</v>
      </c>
      <c r="O326" s="1">
        <v>1</v>
      </c>
      <c r="P326" s="1" t="b">
        <v>1</v>
      </c>
      <c r="Q326" s="1" t="s">
        <v>29</v>
      </c>
      <c r="R326" s="1">
        <f t="shared" si="18"/>
        <v>0</v>
      </c>
      <c r="T326" s="1">
        <f t="shared" si="19"/>
        <v>0</v>
      </c>
      <c r="U326" s="1">
        <f t="shared" si="20"/>
        <v>0</v>
      </c>
    </row>
    <row r="327" spans="1:21" x14ac:dyDescent="0.25">
      <c r="A327" s="1" t="s">
        <v>714</v>
      </c>
      <c r="B327" s="1" t="s">
        <v>704</v>
      </c>
      <c r="C327" s="1" t="s">
        <v>37</v>
      </c>
      <c r="D327" s="2">
        <v>44822</v>
      </c>
      <c r="E327" s="2">
        <v>44891</v>
      </c>
      <c r="F327" s="2">
        <v>44822</v>
      </c>
      <c r="G327" s="2">
        <v>44891</v>
      </c>
      <c r="H327" s="1" t="s">
        <v>20</v>
      </c>
      <c r="I327" s="1">
        <v>100</v>
      </c>
      <c r="J327" s="1">
        <v>28449837</v>
      </c>
      <c r="L327" s="1" t="s">
        <v>715</v>
      </c>
      <c r="M327" s="1" t="s">
        <v>715</v>
      </c>
      <c r="N327" s="1" t="s">
        <v>22</v>
      </c>
      <c r="O327" s="1">
        <v>1</v>
      </c>
      <c r="P327" s="1" t="b">
        <v>1</v>
      </c>
      <c r="R327" s="1">
        <f t="shared" si="18"/>
        <v>0</v>
      </c>
      <c r="T327" s="1">
        <f t="shared" si="19"/>
        <v>0</v>
      </c>
      <c r="U327" s="1">
        <f t="shared" si="20"/>
        <v>0</v>
      </c>
    </row>
    <row r="328" spans="1:21" x14ac:dyDescent="0.25">
      <c r="A328" s="1" t="s">
        <v>716</v>
      </c>
      <c r="B328" s="1" t="s">
        <v>704</v>
      </c>
      <c r="C328" s="1" t="s">
        <v>41</v>
      </c>
      <c r="D328" s="2">
        <v>44891</v>
      </c>
      <c r="E328" s="2">
        <v>44946</v>
      </c>
      <c r="F328" s="2">
        <v>44891</v>
      </c>
      <c r="G328" s="2">
        <v>44946</v>
      </c>
      <c r="H328" s="1" t="s">
        <v>20</v>
      </c>
      <c r="I328" s="1">
        <v>100</v>
      </c>
      <c r="J328" s="1">
        <v>22759869</v>
      </c>
      <c r="L328" s="1" t="s">
        <v>717</v>
      </c>
      <c r="M328" s="1" t="s">
        <v>717</v>
      </c>
      <c r="N328" s="1" t="s">
        <v>22</v>
      </c>
      <c r="O328" s="1">
        <v>1</v>
      </c>
      <c r="P328" s="1" t="b">
        <v>1</v>
      </c>
      <c r="R328" s="1">
        <f t="shared" ref="R328:R348" si="21">G328-E328</f>
        <v>0</v>
      </c>
      <c r="T328" s="1">
        <f t="shared" si="19"/>
        <v>0</v>
      </c>
      <c r="U328" s="1">
        <f t="shared" si="20"/>
        <v>0</v>
      </c>
    </row>
    <row r="329" spans="1:21" x14ac:dyDescent="0.25">
      <c r="A329" s="1" t="s">
        <v>718</v>
      </c>
      <c r="B329" s="1" t="s">
        <v>704</v>
      </c>
      <c r="C329" s="1" t="s">
        <v>45</v>
      </c>
      <c r="D329" s="2">
        <v>44946</v>
      </c>
      <c r="E329" s="2">
        <v>45015</v>
      </c>
      <c r="F329" s="2">
        <v>44946</v>
      </c>
      <c r="G329" s="2">
        <v>45015</v>
      </c>
      <c r="H329" s="1" t="s">
        <v>20</v>
      </c>
      <c r="I329" s="1">
        <v>100</v>
      </c>
      <c r="J329" s="1">
        <v>28449837</v>
      </c>
      <c r="L329" s="1" t="s">
        <v>719</v>
      </c>
      <c r="M329" s="1" t="s">
        <v>719</v>
      </c>
      <c r="N329" s="1" t="s">
        <v>22</v>
      </c>
      <c r="O329" s="1">
        <v>1</v>
      </c>
      <c r="P329" s="1" t="b">
        <v>1</v>
      </c>
      <c r="R329" s="1">
        <f t="shared" si="21"/>
        <v>0</v>
      </c>
      <c r="T329" s="1">
        <f t="shared" si="19"/>
        <v>0</v>
      </c>
      <c r="U329" s="1">
        <f t="shared" si="20"/>
        <v>0</v>
      </c>
    </row>
    <row r="330" spans="1:21" x14ac:dyDescent="0.25">
      <c r="A330" s="1" t="s">
        <v>720</v>
      </c>
      <c r="B330" s="1" t="s">
        <v>704</v>
      </c>
      <c r="C330" s="1" t="s">
        <v>48</v>
      </c>
      <c r="D330" s="2">
        <v>45015</v>
      </c>
      <c r="E330" s="2">
        <v>45035</v>
      </c>
      <c r="F330" s="2">
        <v>45015</v>
      </c>
      <c r="G330" s="2">
        <v>45035</v>
      </c>
      <c r="H330" s="1" t="s">
        <v>20</v>
      </c>
      <c r="I330" s="1">
        <v>100</v>
      </c>
      <c r="J330" s="1">
        <v>8534951</v>
      </c>
      <c r="L330" s="1" t="s">
        <v>721</v>
      </c>
      <c r="M330" s="1" t="s">
        <v>721</v>
      </c>
      <c r="N330" s="1" t="s">
        <v>22</v>
      </c>
      <c r="O330" s="1">
        <v>1</v>
      </c>
      <c r="P330" s="1" t="b">
        <v>1</v>
      </c>
      <c r="R330" s="1">
        <f t="shared" si="21"/>
        <v>0</v>
      </c>
      <c r="T330" s="1">
        <f t="shared" si="19"/>
        <v>0</v>
      </c>
      <c r="U330" s="1">
        <f t="shared" si="20"/>
        <v>0</v>
      </c>
    </row>
    <row r="331" spans="1:21" x14ac:dyDescent="0.25">
      <c r="A331" s="1" t="s">
        <v>722</v>
      </c>
      <c r="B331" s="1" t="s">
        <v>704</v>
      </c>
      <c r="C331" s="1" t="s">
        <v>51</v>
      </c>
      <c r="D331" s="2">
        <v>45035</v>
      </c>
      <c r="E331" s="2">
        <v>45048</v>
      </c>
      <c r="F331" s="2">
        <v>45035</v>
      </c>
      <c r="G331" s="2">
        <v>45048</v>
      </c>
      <c r="H331" s="1" t="s">
        <v>20</v>
      </c>
      <c r="I331" s="1">
        <v>100</v>
      </c>
      <c r="J331" s="1">
        <v>5689967</v>
      </c>
      <c r="L331" s="1" t="s">
        <v>723</v>
      </c>
      <c r="M331" s="1" t="s">
        <v>723</v>
      </c>
      <c r="N331" s="1" t="s">
        <v>22</v>
      </c>
      <c r="O331" s="1">
        <v>1</v>
      </c>
      <c r="P331" s="1" t="b">
        <v>1</v>
      </c>
      <c r="R331" s="1">
        <f t="shared" si="21"/>
        <v>0</v>
      </c>
      <c r="T331" s="1">
        <f t="shared" si="19"/>
        <v>0</v>
      </c>
      <c r="U331" s="1">
        <f t="shared" si="20"/>
        <v>0</v>
      </c>
    </row>
    <row r="332" spans="1:21" x14ac:dyDescent="0.25">
      <c r="A332" s="1" t="s">
        <v>724</v>
      </c>
      <c r="B332" s="1" t="s">
        <v>725</v>
      </c>
      <c r="C332" s="1" t="s">
        <v>19</v>
      </c>
      <c r="D332" s="2">
        <v>43952</v>
      </c>
      <c r="E332" s="2">
        <v>43997</v>
      </c>
      <c r="F332" s="2">
        <v>43952</v>
      </c>
      <c r="G332" s="2">
        <v>43997</v>
      </c>
      <c r="H332" s="1" t="s">
        <v>20</v>
      </c>
      <c r="I332" s="1">
        <v>100</v>
      </c>
      <c r="J332" s="1">
        <v>6113845</v>
      </c>
      <c r="L332" s="1" t="s">
        <v>726</v>
      </c>
      <c r="M332" s="1" t="s">
        <v>726</v>
      </c>
      <c r="N332" s="1" t="s">
        <v>22</v>
      </c>
      <c r="O332" s="1">
        <v>1</v>
      </c>
      <c r="P332" s="1" t="b">
        <v>1</v>
      </c>
      <c r="R332" s="1">
        <f t="shared" si="21"/>
        <v>0</v>
      </c>
      <c r="T332" s="1">
        <f t="shared" si="19"/>
        <v>0</v>
      </c>
      <c r="U332" s="1">
        <f t="shared" si="20"/>
        <v>0</v>
      </c>
    </row>
    <row r="333" spans="1:21" x14ac:dyDescent="0.25">
      <c r="A333" s="1" t="s">
        <v>727</v>
      </c>
      <c r="B333" s="1" t="s">
        <v>725</v>
      </c>
      <c r="C333" s="1" t="s">
        <v>24</v>
      </c>
      <c r="D333" s="2">
        <v>43997</v>
      </c>
      <c r="E333" s="2">
        <v>44087</v>
      </c>
      <c r="F333" s="2">
        <v>43997</v>
      </c>
      <c r="G333" s="2">
        <v>44087</v>
      </c>
      <c r="H333" s="1" t="s">
        <v>20</v>
      </c>
      <c r="I333" s="1">
        <v>100</v>
      </c>
      <c r="J333" s="1">
        <v>12227691</v>
      </c>
      <c r="L333" s="1" t="s">
        <v>728</v>
      </c>
      <c r="M333" s="1" t="s">
        <v>728</v>
      </c>
      <c r="N333" s="1" t="s">
        <v>22</v>
      </c>
      <c r="O333" s="1">
        <v>1</v>
      </c>
      <c r="P333" s="1" t="b">
        <v>1</v>
      </c>
      <c r="R333" s="1">
        <f t="shared" si="21"/>
        <v>0</v>
      </c>
      <c r="T333" s="1">
        <f t="shared" si="19"/>
        <v>0</v>
      </c>
      <c r="U333" s="1">
        <f t="shared" si="20"/>
        <v>0</v>
      </c>
    </row>
    <row r="334" spans="1:21" x14ac:dyDescent="0.25">
      <c r="A334" s="1" t="s">
        <v>729</v>
      </c>
      <c r="B334" s="1" t="s">
        <v>725</v>
      </c>
      <c r="C334" s="1" t="s">
        <v>27</v>
      </c>
      <c r="D334" s="2">
        <v>44087</v>
      </c>
      <c r="E334" s="2">
        <v>44195</v>
      </c>
      <c r="F334" s="2">
        <v>44087</v>
      </c>
      <c r="G334" s="2">
        <v>44195</v>
      </c>
      <c r="H334" s="1" t="s">
        <v>20</v>
      </c>
      <c r="I334" s="1">
        <v>100</v>
      </c>
      <c r="J334" s="1">
        <v>14673229</v>
      </c>
      <c r="L334" s="1" t="s">
        <v>730</v>
      </c>
      <c r="M334" s="1" t="s">
        <v>730</v>
      </c>
      <c r="N334" s="1" t="s">
        <v>22</v>
      </c>
      <c r="O334" s="1">
        <v>1</v>
      </c>
      <c r="P334" s="1" t="b">
        <v>1</v>
      </c>
      <c r="Q334" s="1" t="s">
        <v>29</v>
      </c>
      <c r="R334" s="1">
        <f t="shared" si="21"/>
        <v>0</v>
      </c>
      <c r="T334" s="1">
        <f t="shared" si="19"/>
        <v>0</v>
      </c>
      <c r="U334" s="1">
        <f t="shared" si="20"/>
        <v>0</v>
      </c>
    </row>
    <row r="335" spans="1:21" x14ac:dyDescent="0.25">
      <c r="A335" s="1" t="s">
        <v>731</v>
      </c>
      <c r="B335" s="1" t="s">
        <v>725</v>
      </c>
      <c r="C335" s="1" t="s">
        <v>31</v>
      </c>
      <c r="D335" s="2">
        <v>44195</v>
      </c>
      <c r="E335" s="2">
        <v>44330</v>
      </c>
      <c r="F335" s="2">
        <v>44195</v>
      </c>
      <c r="G335" s="2">
        <v>44330</v>
      </c>
      <c r="H335" s="1" t="s">
        <v>20</v>
      </c>
      <c r="I335" s="1">
        <v>100</v>
      </c>
      <c r="J335" s="1">
        <v>18341537</v>
      </c>
      <c r="L335" s="1" t="s">
        <v>732</v>
      </c>
      <c r="M335" s="1" t="s">
        <v>732</v>
      </c>
      <c r="N335" s="1" t="s">
        <v>22</v>
      </c>
      <c r="O335" s="1">
        <v>1</v>
      </c>
      <c r="P335" s="1" t="b">
        <v>1</v>
      </c>
      <c r="R335" s="1">
        <f t="shared" si="21"/>
        <v>0</v>
      </c>
      <c r="T335" s="1">
        <f t="shared" si="19"/>
        <v>0</v>
      </c>
      <c r="U335" s="1">
        <f t="shared" si="20"/>
        <v>0</v>
      </c>
    </row>
    <row r="336" spans="1:21" x14ac:dyDescent="0.25">
      <c r="A336" s="1" t="s">
        <v>733</v>
      </c>
      <c r="B336" s="1" t="s">
        <v>725</v>
      </c>
      <c r="C336" s="1" t="s">
        <v>34</v>
      </c>
      <c r="D336" s="2">
        <v>44330</v>
      </c>
      <c r="E336" s="2">
        <v>44555</v>
      </c>
      <c r="F336" s="2">
        <v>44330</v>
      </c>
      <c r="G336" s="2">
        <v>44555</v>
      </c>
      <c r="H336" s="1" t="s">
        <v>20</v>
      </c>
      <c r="I336" s="1">
        <v>100</v>
      </c>
      <c r="J336" s="1">
        <v>30569229</v>
      </c>
      <c r="L336" s="1" t="s">
        <v>734</v>
      </c>
      <c r="M336" s="1" t="s">
        <v>734</v>
      </c>
      <c r="N336" s="1" t="s">
        <v>22</v>
      </c>
      <c r="O336" s="1">
        <v>1</v>
      </c>
      <c r="P336" s="1" t="b">
        <v>1</v>
      </c>
      <c r="Q336" s="1" t="s">
        <v>29</v>
      </c>
      <c r="R336" s="1">
        <f t="shared" si="21"/>
        <v>0</v>
      </c>
      <c r="T336" s="1">
        <f t="shared" si="19"/>
        <v>0</v>
      </c>
      <c r="U336" s="1">
        <f t="shared" si="20"/>
        <v>0</v>
      </c>
    </row>
    <row r="337" spans="1:21" x14ac:dyDescent="0.25">
      <c r="A337" s="1" t="s">
        <v>735</v>
      </c>
      <c r="B337" s="1" t="s">
        <v>725</v>
      </c>
      <c r="C337" s="1" t="s">
        <v>37</v>
      </c>
      <c r="D337" s="2">
        <v>44555</v>
      </c>
      <c r="E337" s="2">
        <v>44645</v>
      </c>
      <c r="F337" s="2">
        <v>44555</v>
      </c>
      <c r="G337" s="2">
        <v>44645</v>
      </c>
      <c r="H337" s="1" t="s">
        <v>20</v>
      </c>
      <c r="I337" s="1">
        <v>100</v>
      </c>
      <c r="J337" s="1">
        <v>12227691</v>
      </c>
      <c r="L337" s="1" t="s">
        <v>736</v>
      </c>
      <c r="M337" s="1" t="s">
        <v>736</v>
      </c>
      <c r="N337" s="1" t="s">
        <v>22</v>
      </c>
      <c r="O337" s="1">
        <v>1</v>
      </c>
      <c r="P337" s="1" t="b">
        <v>1</v>
      </c>
      <c r="R337" s="1">
        <f t="shared" si="21"/>
        <v>0</v>
      </c>
      <c r="T337" s="1">
        <f t="shared" si="19"/>
        <v>0</v>
      </c>
      <c r="U337" s="1">
        <f t="shared" si="20"/>
        <v>0</v>
      </c>
    </row>
    <row r="338" spans="1:21" x14ac:dyDescent="0.25">
      <c r="A338" s="1" t="s">
        <v>737</v>
      </c>
      <c r="B338" s="1" t="s">
        <v>725</v>
      </c>
      <c r="C338" s="1" t="s">
        <v>41</v>
      </c>
      <c r="D338" s="2">
        <v>44645</v>
      </c>
      <c r="E338" s="2">
        <v>44717</v>
      </c>
      <c r="F338" s="2">
        <v>44645</v>
      </c>
      <c r="G338" s="2">
        <v>44717</v>
      </c>
      <c r="H338" s="1" t="s">
        <v>20</v>
      </c>
      <c r="I338" s="1">
        <v>100</v>
      </c>
      <c r="J338" s="1">
        <v>9782153</v>
      </c>
      <c r="L338" s="1" t="s">
        <v>738</v>
      </c>
      <c r="M338" s="1" t="s">
        <v>738</v>
      </c>
      <c r="N338" s="1" t="s">
        <v>22</v>
      </c>
      <c r="O338" s="1">
        <v>1</v>
      </c>
      <c r="P338" s="1" t="b">
        <v>1</v>
      </c>
      <c r="R338" s="1">
        <f t="shared" si="21"/>
        <v>0</v>
      </c>
      <c r="T338" s="1">
        <f t="shared" si="19"/>
        <v>0</v>
      </c>
      <c r="U338" s="1">
        <f t="shared" si="20"/>
        <v>0</v>
      </c>
    </row>
    <row r="339" spans="1:21" x14ac:dyDescent="0.25">
      <c r="A339" s="1" t="s">
        <v>739</v>
      </c>
      <c r="B339" s="1" t="s">
        <v>725</v>
      </c>
      <c r="C339" s="1" t="s">
        <v>45</v>
      </c>
      <c r="D339" s="2">
        <v>44717</v>
      </c>
      <c r="E339" s="2">
        <v>44807</v>
      </c>
      <c r="F339" s="2">
        <v>44717</v>
      </c>
      <c r="G339" s="2">
        <v>44807</v>
      </c>
      <c r="H339" s="1" t="s">
        <v>20</v>
      </c>
      <c r="I339" s="1">
        <v>100</v>
      </c>
      <c r="J339" s="1">
        <v>12227691</v>
      </c>
      <c r="L339" s="1" t="s">
        <v>740</v>
      </c>
      <c r="M339" s="1" t="s">
        <v>740</v>
      </c>
      <c r="N339" s="1" t="s">
        <v>22</v>
      </c>
      <c r="O339" s="1">
        <v>1</v>
      </c>
      <c r="P339" s="1" t="b">
        <v>1</v>
      </c>
      <c r="R339" s="1">
        <f t="shared" si="21"/>
        <v>0</v>
      </c>
      <c r="T339" s="1">
        <f t="shared" si="19"/>
        <v>0</v>
      </c>
      <c r="U339" s="1">
        <f t="shared" si="20"/>
        <v>0</v>
      </c>
    </row>
    <row r="340" spans="1:21" x14ac:dyDescent="0.25">
      <c r="A340" s="1" t="s">
        <v>741</v>
      </c>
      <c r="B340" s="1" t="s">
        <v>725</v>
      </c>
      <c r="C340" s="1" t="s">
        <v>48</v>
      </c>
      <c r="D340" s="2">
        <v>44807</v>
      </c>
      <c r="E340" s="2">
        <v>44834</v>
      </c>
      <c r="F340" s="2">
        <v>44807</v>
      </c>
      <c r="G340" s="2">
        <v>44834</v>
      </c>
      <c r="H340" s="1" t="s">
        <v>20</v>
      </c>
      <c r="I340" s="1">
        <v>100</v>
      </c>
      <c r="J340" s="1">
        <v>3668307</v>
      </c>
      <c r="L340" s="1" t="s">
        <v>742</v>
      </c>
      <c r="M340" s="1" t="s">
        <v>742</v>
      </c>
      <c r="N340" s="1" t="s">
        <v>22</v>
      </c>
      <c r="O340" s="1">
        <v>1</v>
      </c>
      <c r="P340" s="1" t="b">
        <v>1</v>
      </c>
      <c r="R340" s="1">
        <f t="shared" si="21"/>
        <v>0</v>
      </c>
      <c r="T340" s="1">
        <f t="shared" si="19"/>
        <v>0</v>
      </c>
      <c r="U340" s="1">
        <f t="shared" si="20"/>
        <v>0</v>
      </c>
    </row>
    <row r="341" spans="1:21" x14ac:dyDescent="0.25">
      <c r="A341" s="1" t="s">
        <v>743</v>
      </c>
      <c r="B341" s="1" t="s">
        <v>725</v>
      </c>
      <c r="C341" s="1" t="s">
        <v>51</v>
      </c>
      <c r="D341" s="2">
        <v>44834</v>
      </c>
      <c r="E341" s="2">
        <v>44852</v>
      </c>
      <c r="F341" s="2">
        <v>44834</v>
      </c>
      <c r="G341" s="2">
        <v>44852</v>
      </c>
      <c r="H341" s="1" t="s">
        <v>20</v>
      </c>
      <c r="I341" s="1">
        <v>100</v>
      </c>
      <c r="J341" s="1">
        <v>2445538</v>
      </c>
      <c r="L341" s="1" t="s">
        <v>744</v>
      </c>
      <c r="M341" s="1" t="s">
        <v>744</v>
      </c>
      <c r="N341" s="1" t="s">
        <v>22</v>
      </c>
      <c r="O341" s="1">
        <v>1</v>
      </c>
      <c r="P341" s="1" t="b">
        <v>1</v>
      </c>
      <c r="R341" s="1">
        <f t="shared" si="21"/>
        <v>0</v>
      </c>
      <c r="T341" s="1">
        <f t="shared" si="19"/>
        <v>0</v>
      </c>
      <c r="U341" s="1">
        <f t="shared" si="20"/>
        <v>0</v>
      </c>
    </row>
    <row r="342" spans="1:21" x14ac:dyDescent="0.25">
      <c r="A342" s="1" t="s">
        <v>745</v>
      </c>
      <c r="B342" s="1" t="s">
        <v>746</v>
      </c>
      <c r="C342" s="1" t="s">
        <v>19</v>
      </c>
      <c r="D342" s="2">
        <v>45318</v>
      </c>
      <c r="E342" s="2">
        <v>45358</v>
      </c>
      <c r="F342" s="2">
        <v>45318</v>
      </c>
      <c r="G342" s="2">
        <v>45358</v>
      </c>
      <c r="H342" s="1" t="s">
        <v>20</v>
      </c>
      <c r="I342" s="1">
        <v>100</v>
      </c>
      <c r="J342" s="1">
        <v>1320446</v>
      </c>
      <c r="L342" s="1" t="s">
        <v>747</v>
      </c>
      <c r="M342" s="1" t="s">
        <v>747</v>
      </c>
      <c r="N342" s="1" t="s">
        <v>22</v>
      </c>
      <c r="O342" s="1">
        <v>1</v>
      </c>
      <c r="P342" s="1" t="b">
        <v>1</v>
      </c>
      <c r="R342" s="1">
        <f t="shared" si="21"/>
        <v>0</v>
      </c>
      <c r="T342" s="1">
        <f t="shared" si="19"/>
        <v>0</v>
      </c>
      <c r="U342" s="1">
        <f t="shared" si="20"/>
        <v>0</v>
      </c>
    </row>
    <row r="343" spans="1:21" x14ac:dyDescent="0.25">
      <c r="A343" s="1" t="s">
        <v>748</v>
      </c>
      <c r="B343" s="1" t="s">
        <v>746</v>
      </c>
      <c r="C343" s="1" t="s">
        <v>24</v>
      </c>
      <c r="D343" s="2">
        <v>45358</v>
      </c>
      <c r="E343" s="2">
        <v>45439</v>
      </c>
      <c r="F343" s="2">
        <v>45358</v>
      </c>
      <c r="G343" s="2">
        <v>45439</v>
      </c>
      <c r="H343" s="1" t="s">
        <v>20</v>
      </c>
      <c r="I343" s="1">
        <v>100</v>
      </c>
      <c r="J343" s="1">
        <v>2640893</v>
      </c>
      <c r="L343" s="1" t="s">
        <v>749</v>
      </c>
      <c r="M343" s="1" t="s">
        <v>749</v>
      </c>
      <c r="N343" s="1" t="s">
        <v>22</v>
      </c>
      <c r="O343" s="1">
        <v>1</v>
      </c>
      <c r="P343" s="1" t="b">
        <v>1</v>
      </c>
      <c r="R343" s="1">
        <f t="shared" si="21"/>
        <v>0</v>
      </c>
      <c r="T343" s="1">
        <f t="shared" si="19"/>
        <v>0</v>
      </c>
      <c r="U343" s="1">
        <f t="shared" si="20"/>
        <v>0</v>
      </c>
    </row>
    <row r="344" spans="1:21" x14ac:dyDescent="0.25">
      <c r="A344" s="1" t="s">
        <v>750</v>
      </c>
      <c r="B344" s="1" t="s">
        <v>746</v>
      </c>
      <c r="C344" s="1" t="s">
        <v>27</v>
      </c>
      <c r="D344" s="2">
        <v>45439</v>
      </c>
      <c r="E344" s="2">
        <v>45536</v>
      </c>
      <c r="F344" s="2">
        <v>45439</v>
      </c>
      <c r="G344" s="2">
        <v>45536</v>
      </c>
      <c r="H344" s="1" t="s">
        <v>20</v>
      </c>
      <c r="I344" s="1">
        <v>100</v>
      </c>
      <c r="J344" s="1">
        <v>3169072</v>
      </c>
      <c r="L344" s="1" t="s">
        <v>751</v>
      </c>
      <c r="M344" s="1" t="s">
        <v>751</v>
      </c>
      <c r="N344" s="1" t="s">
        <v>22</v>
      </c>
      <c r="O344" s="1">
        <v>1</v>
      </c>
      <c r="P344" s="1" t="b">
        <v>1</v>
      </c>
      <c r="Q344" s="1" t="s">
        <v>29</v>
      </c>
      <c r="R344" s="1">
        <f t="shared" si="21"/>
        <v>0</v>
      </c>
      <c r="T344" s="1">
        <f t="shared" si="19"/>
        <v>0</v>
      </c>
      <c r="U344" s="1">
        <f t="shared" si="20"/>
        <v>0</v>
      </c>
    </row>
    <row r="345" spans="1:21" x14ac:dyDescent="0.25">
      <c r="A345" s="1" t="s">
        <v>752</v>
      </c>
      <c r="B345" s="1" t="s">
        <v>746</v>
      </c>
      <c r="C345" s="1" t="s">
        <v>31</v>
      </c>
      <c r="D345" s="2">
        <v>45536</v>
      </c>
      <c r="E345" s="2">
        <v>45657</v>
      </c>
      <c r="F345" s="2">
        <v>45536</v>
      </c>
      <c r="G345" s="2">
        <v>45657</v>
      </c>
      <c r="H345" s="1" t="s">
        <v>20</v>
      </c>
      <c r="I345" s="1">
        <v>100</v>
      </c>
      <c r="J345" s="1">
        <v>3961340</v>
      </c>
      <c r="L345" s="1" t="s">
        <v>753</v>
      </c>
      <c r="M345" s="1" t="s">
        <v>753</v>
      </c>
      <c r="N345" s="1" t="s">
        <v>22</v>
      </c>
      <c r="O345" s="1">
        <v>1</v>
      </c>
      <c r="P345" s="1" t="b">
        <v>1</v>
      </c>
      <c r="R345" s="1">
        <f t="shared" si="21"/>
        <v>0</v>
      </c>
      <c r="T345" s="1">
        <f t="shared" si="19"/>
        <v>0</v>
      </c>
      <c r="U345" s="1">
        <f t="shared" si="20"/>
        <v>0</v>
      </c>
    </row>
    <row r="346" spans="1:21" x14ac:dyDescent="0.25">
      <c r="A346" s="1" t="s">
        <v>754</v>
      </c>
      <c r="B346" s="1" t="s">
        <v>746</v>
      </c>
      <c r="C346" s="1" t="s">
        <v>34</v>
      </c>
      <c r="D346" s="2">
        <v>45657</v>
      </c>
      <c r="E346" s="2">
        <v>45859</v>
      </c>
      <c r="F346" s="2">
        <v>45657</v>
      </c>
      <c r="G346" s="2">
        <v>45859</v>
      </c>
      <c r="H346" s="1" t="s">
        <v>20</v>
      </c>
      <c r="I346" s="1">
        <v>100</v>
      </c>
      <c r="J346" s="1">
        <v>6602233</v>
      </c>
      <c r="L346" s="1" t="s">
        <v>755</v>
      </c>
      <c r="M346" s="1" t="s">
        <v>755</v>
      </c>
      <c r="N346" s="1" t="s">
        <v>22</v>
      </c>
      <c r="O346" s="1">
        <v>1</v>
      </c>
      <c r="P346" s="1" t="b">
        <v>1</v>
      </c>
      <c r="Q346" s="1" t="s">
        <v>29</v>
      </c>
      <c r="R346" s="1">
        <f t="shared" si="21"/>
        <v>0</v>
      </c>
      <c r="T346" s="1">
        <f t="shared" si="19"/>
        <v>0</v>
      </c>
      <c r="U346" s="1">
        <f t="shared" si="20"/>
        <v>0</v>
      </c>
    </row>
    <row r="347" spans="1:21" x14ac:dyDescent="0.25">
      <c r="A347" s="1" t="s">
        <v>756</v>
      </c>
      <c r="B347" s="1" t="s">
        <v>746</v>
      </c>
      <c r="C347" s="1" t="s">
        <v>37</v>
      </c>
      <c r="D347" s="2">
        <v>45859</v>
      </c>
      <c r="E347" s="2">
        <v>45940</v>
      </c>
      <c r="F347" s="2">
        <v>45859</v>
      </c>
      <c r="G347" s="2">
        <v>45940</v>
      </c>
      <c r="H347" s="1" t="s">
        <v>20</v>
      </c>
      <c r="I347" s="1">
        <v>100</v>
      </c>
      <c r="J347" s="1">
        <v>2640893</v>
      </c>
      <c r="L347" s="1" t="s">
        <v>757</v>
      </c>
      <c r="M347" s="1" t="s">
        <v>757</v>
      </c>
      <c r="N347" s="1" t="s">
        <v>22</v>
      </c>
      <c r="O347" s="1">
        <v>1</v>
      </c>
      <c r="P347" s="1" t="b">
        <v>1</v>
      </c>
      <c r="R347" s="1">
        <f t="shared" si="21"/>
        <v>0</v>
      </c>
      <c r="T347" s="1">
        <f t="shared" si="19"/>
        <v>0</v>
      </c>
      <c r="U347" s="1">
        <f t="shared" si="20"/>
        <v>0</v>
      </c>
    </row>
    <row r="348" spans="1:21" x14ac:dyDescent="0.25">
      <c r="A348" s="1" t="s">
        <v>758</v>
      </c>
      <c r="B348" s="1" t="s">
        <v>746</v>
      </c>
      <c r="C348" s="1" t="s">
        <v>41</v>
      </c>
      <c r="D348" s="2">
        <v>45940</v>
      </c>
      <c r="E348" s="2">
        <v>46004</v>
      </c>
      <c r="F348" s="2">
        <v>45940</v>
      </c>
      <c r="G348" s="2">
        <v>46004</v>
      </c>
      <c r="H348" s="1" t="s">
        <v>20</v>
      </c>
      <c r="I348" s="1">
        <v>100</v>
      </c>
      <c r="J348" s="1">
        <v>2112714</v>
      </c>
      <c r="L348" s="1" t="s">
        <v>759</v>
      </c>
      <c r="M348" s="1" t="s">
        <v>759</v>
      </c>
      <c r="N348" s="1" t="s">
        <v>22</v>
      </c>
      <c r="O348" s="1">
        <v>1</v>
      </c>
      <c r="P348" s="1" t="b">
        <v>1</v>
      </c>
      <c r="R348" s="1">
        <f t="shared" si="21"/>
        <v>0</v>
      </c>
      <c r="T348" s="1">
        <f t="shared" si="19"/>
        <v>0</v>
      </c>
      <c r="U348" s="1">
        <f t="shared" si="20"/>
        <v>0</v>
      </c>
    </row>
    <row r="349" spans="1:21" x14ac:dyDescent="0.25">
      <c r="A349" s="1" t="s">
        <v>760</v>
      </c>
      <c r="B349" s="1" t="s">
        <v>746</v>
      </c>
      <c r="C349" s="1" t="s">
        <v>45</v>
      </c>
      <c r="D349" s="2">
        <v>46004</v>
      </c>
      <c r="E349" s="2">
        <v>46085</v>
      </c>
      <c r="F349" s="2">
        <v>46004</v>
      </c>
      <c r="H349" s="1" t="s">
        <v>38</v>
      </c>
      <c r="I349" s="1">
        <v>21</v>
      </c>
      <c r="J349" s="1">
        <v>2640893</v>
      </c>
      <c r="L349" s="1" t="s">
        <v>761</v>
      </c>
      <c r="M349" s="1" t="s">
        <v>761</v>
      </c>
      <c r="N349" s="1" t="s">
        <v>22</v>
      </c>
      <c r="O349" s="1">
        <v>1</v>
      </c>
      <c r="P349" s="1" t="b">
        <v>1</v>
      </c>
      <c r="S349" s="1">
        <f>R$7-E349</f>
        <v>209</v>
      </c>
      <c r="T349" s="1">
        <f t="shared" si="19"/>
        <v>1</v>
      </c>
      <c r="U349" s="1">
        <f t="shared" si="20"/>
        <v>209</v>
      </c>
    </row>
    <row r="350" spans="1:21" x14ac:dyDescent="0.25">
      <c r="A350" s="1" t="s">
        <v>762</v>
      </c>
      <c r="B350" s="1" t="s">
        <v>746</v>
      </c>
      <c r="C350" s="1" t="s">
        <v>48</v>
      </c>
      <c r="D350" s="2">
        <v>46085</v>
      </c>
      <c r="E350" s="2">
        <v>46109</v>
      </c>
      <c r="H350" s="1" t="s">
        <v>42</v>
      </c>
      <c r="I350" s="1">
        <v>0</v>
      </c>
      <c r="J350" s="1">
        <v>792268</v>
      </c>
      <c r="L350" s="1" t="s">
        <v>763</v>
      </c>
      <c r="M350" s="1" t="s">
        <v>763</v>
      </c>
      <c r="N350" s="1" t="s">
        <v>22</v>
      </c>
      <c r="O350" s="1">
        <v>1</v>
      </c>
      <c r="P350" s="1" t="b">
        <v>1</v>
      </c>
      <c r="S350" s="1">
        <f>R$7-E350</f>
        <v>185</v>
      </c>
      <c r="T350" s="1">
        <f t="shared" si="19"/>
        <v>1</v>
      </c>
      <c r="U350" s="1">
        <f t="shared" si="20"/>
        <v>185</v>
      </c>
    </row>
    <row r="351" spans="1:21" x14ac:dyDescent="0.25">
      <c r="A351" s="1" t="s">
        <v>764</v>
      </c>
      <c r="B351" s="1" t="s">
        <v>746</v>
      </c>
      <c r="C351" s="1" t="s">
        <v>51</v>
      </c>
      <c r="D351" s="2">
        <v>46109</v>
      </c>
      <c r="E351" s="2">
        <v>46125</v>
      </c>
      <c r="H351" s="1" t="s">
        <v>42</v>
      </c>
      <c r="I351" s="1">
        <v>0</v>
      </c>
      <c r="J351" s="1">
        <v>528178</v>
      </c>
      <c r="L351" s="1" t="s">
        <v>765</v>
      </c>
      <c r="M351" s="1" t="s">
        <v>765</v>
      </c>
      <c r="N351" s="1" t="s">
        <v>22</v>
      </c>
      <c r="O351" s="1">
        <v>1</v>
      </c>
      <c r="P351" s="1" t="b">
        <v>1</v>
      </c>
      <c r="S351" s="1">
        <f>R$7-E351</f>
        <v>169</v>
      </c>
      <c r="T351" s="1">
        <f t="shared" si="19"/>
        <v>1</v>
      </c>
      <c r="U351" s="1">
        <f t="shared" si="20"/>
        <v>169</v>
      </c>
    </row>
    <row r="352" spans="1:21" x14ac:dyDescent="0.25">
      <c r="A352" s="1" t="s">
        <v>766</v>
      </c>
      <c r="B352" s="1" t="s">
        <v>767</v>
      </c>
      <c r="C352" s="1" t="s">
        <v>19</v>
      </c>
      <c r="D352" s="2">
        <v>45151</v>
      </c>
      <c r="E352" s="2">
        <v>45172</v>
      </c>
      <c r="F352" s="2">
        <v>45151</v>
      </c>
      <c r="G352" s="2">
        <v>45172</v>
      </c>
      <c r="H352" s="1" t="s">
        <v>20</v>
      </c>
      <c r="I352" s="1">
        <v>100</v>
      </c>
      <c r="J352" s="1">
        <v>8207338</v>
      </c>
      <c r="L352" s="1" t="s">
        <v>768</v>
      </c>
      <c r="M352" s="1" t="s">
        <v>768</v>
      </c>
      <c r="N352" s="1" t="s">
        <v>22</v>
      </c>
      <c r="O352" s="1">
        <v>1</v>
      </c>
      <c r="P352" s="1" t="b">
        <v>1</v>
      </c>
      <c r="R352" s="1">
        <f t="shared" ref="R352:R394" si="22">G352-E352</f>
        <v>0</v>
      </c>
      <c r="T352" s="1">
        <f t="shared" si="19"/>
        <v>0</v>
      </c>
      <c r="U352" s="1">
        <f t="shared" si="20"/>
        <v>0</v>
      </c>
    </row>
    <row r="353" spans="1:21" x14ac:dyDescent="0.25">
      <c r="A353" s="1" t="s">
        <v>769</v>
      </c>
      <c r="B353" s="1" t="s">
        <v>767</v>
      </c>
      <c r="C353" s="1" t="s">
        <v>24</v>
      </c>
      <c r="D353" s="2">
        <v>45172</v>
      </c>
      <c r="E353" s="2">
        <v>45214</v>
      </c>
      <c r="F353" s="2">
        <v>45172</v>
      </c>
      <c r="G353" s="2">
        <v>45214</v>
      </c>
      <c r="H353" s="1" t="s">
        <v>20</v>
      </c>
      <c r="I353" s="1">
        <v>100</v>
      </c>
      <c r="J353" s="1">
        <v>16414677</v>
      </c>
      <c r="L353" s="1" t="s">
        <v>770</v>
      </c>
      <c r="M353" s="1" t="s">
        <v>770</v>
      </c>
      <c r="N353" s="1" t="s">
        <v>22</v>
      </c>
      <c r="O353" s="1">
        <v>1</v>
      </c>
      <c r="P353" s="1" t="b">
        <v>1</v>
      </c>
      <c r="R353" s="1">
        <f t="shared" si="22"/>
        <v>0</v>
      </c>
      <c r="T353" s="1">
        <f t="shared" si="19"/>
        <v>0</v>
      </c>
      <c r="U353" s="1">
        <f t="shared" si="20"/>
        <v>0</v>
      </c>
    </row>
    <row r="354" spans="1:21" x14ac:dyDescent="0.25">
      <c r="A354" s="1" t="s">
        <v>771</v>
      </c>
      <c r="B354" s="1" t="s">
        <v>767</v>
      </c>
      <c r="C354" s="1" t="s">
        <v>27</v>
      </c>
      <c r="D354" s="2">
        <v>45214</v>
      </c>
      <c r="E354" s="2">
        <v>45264</v>
      </c>
      <c r="F354" s="2">
        <v>45214</v>
      </c>
      <c r="G354" s="2">
        <v>45264</v>
      </c>
      <c r="H354" s="1" t="s">
        <v>20</v>
      </c>
      <c r="I354" s="1">
        <v>100</v>
      </c>
      <c r="J354" s="1">
        <v>19697612</v>
      </c>
      <c r="L354" s="1" t="s">
        <v>772</v>
      </c>
      <c r="M354" s="1" t="s">
        <v>772</v>
      </c>
      <c r="N354" s="1" t="s">
        <v>22</v>
      </c>
      <c r="O354" s="1">
        <v>1</v>
      </c>
      <c r="P354" s="1" t="b">
        <v>1</v>
      </c>
      <c r="Q354" s="1" t="s">
        <v>29</v>
      </c>
      <c r="R354" s="1">
        <f t="shared" si="22"/>
        <v>0</v>
      </c>
      <c r="T354" s="1">
        <f t="shared" si="19"/>
        <v>0</v>
      </c>
      <c r="U354" s="1">
        <f t="shared" si="20"/>
        <v>0</v>
      </c>
    </row>
    <row r="355" spans="1:21" x14ac:dyDescent="0.25">
      <c r="A355" s="1" t="s">
        <v>773</v>
      </c>
      <c r="B355" s="1" t="s">
        <v>767</v>
      </c>
      <c r="C355" s="1" t="s">
        <v>31</v>
      </c>
      <c r="D355" s="2">
        <v>45264</v>
      </c>
      <c r="E355" s="2">
        <v>45327</v>
      </c>
      <c r="F355" s="2">
        <v>45264</v>
      </c>
      <c r="G355" s="2">
        <v>45327</v>
      </c>
      <c r="H355" s="1" t="s">
        <v>20</v>
      </c>
      <c r="I355" s="1">
        <v>100</v>
      </c>
      <c r="J355" s="1">
        <v>24622015</v>
      </c>
      <c r="L355" s="1" t="s">
        <v>774</v>
      </c>
      <c r="M355" s="1" t="s">
        <v>774</v>
      </c>
      <c r="N355" s="1" t="s">
        <v>22</v>
      </c>
      <c r="O355" s="1">
        <v>1</v>
      </c>
      <c r="P355" s="1" t="b">
        <v>1</v>
      </c>
      <c r="R355" s="1">
        <f t="shared" si="22"/>
        <v>0</v>
      </c>
      <c r="T355" s="1">
        <f t="shared" si="19"/>
        <v>0</v>
      </c>
      <c r="U355" s="1">
        <f t="shared" si="20"/>
        <v>0</v>
      </c>
    </row>
    <row r="356" spans="1:21" x14ac:dyDescent="0.25">
      <c r="A356" s="1" t="s">
        <v>775</v>
      </c>
      <c r="B356" s="1" t="s">
        <v>767</v>
      </c>
      <c r="C356" s="1" t="s">
        <v>34</v>
      </c>
      <c r="D356" s="2">
        <v>45327</v>
      </c>
      <c r="E356" s="2">
        <v>45432</v>
      </c>
      <c r="F356" s="2">
        <v>45327</v>
      </c>
      <c r="G356" s="2">
        <v>45432</v>
      </c>
      <c r="H356" s="1" t="s">
        <v>20</v>
      </c>
      <c r="I356" s="1">
        <v>100</v>
      </c>
      <c r="J356" s="1">
        <v>41036693</v>
      </c>
      <c r="L356" s="1" t="s">
        <v>776</v>
      </c>
      <c r="M356" s="1" t="s">
        <v>776</v>
      </c>
      <c r="N356" s="1" t="s">
        <v>22</v>
      </c>
      <c r="O356" s="1">
        <v>1</v>
      </c>
      <c r="P356" s="1" t="b">
        <v>1</v>
      </c>
      <c r="Q356" s="1" t="s">
        <v>29</v>
      </c>
      <c r="R356" s="1">
        <f t="shared" si="22"/>
        <v>0</v>
      </c>
      <c r="T356" s="1">
        <f t="shared" si="19"/>
        <v>0</v>
      </c>
      <c r="U356" s="1">
        <f t="shared" si="20"/>
        <v>0</v>
      </c>
    </row>
    <row r="357" spans="1:21" x14ac:dyDescent="0.25">
      <c r="A357" s="1" t="s">
        <v>777</v>
      </c>
      <c r="B357" s="1" t="s">
        <v>767</v>
      </c>
      <c r="C357" s="1" t="s">
        <v>37</v>
      </c>
      <c r="D357" s="2">
        <v>45432</v>
      </c>
      <c r="E357" s="2">
        <v>45474</v>
      </c>
      <c r="F357" s="2">
        <v>45432</v>
      </c>
      <c r="G357" s="2">
        <v>45474</v>
      </c>
      <c r="H357" s="1" t="s">
        <v>20</v>
      </c>
      <c r="I357" s="1">
        <v>100</v>
      </c>
      <c r="J357" s="1">
        <v>16414677</v>
      </c>
      <c r="L357" s="1" t="s">
        <v>778</v>
      </c>
      <c r="M357" s="1" t="s">
        <v>778</v>
      </c>
      <c r="N357" s="1" t="s">
        <v>22</v>
      </c>
      <c r="O357" s="1">
        <v>1</v>
      </c>
      <c r="P357" s="1" t="b">
        <v>1</v>
      </c>
      <c r="R357" s="1">
        <f t="shared" si="22"/>
        <v>0</v>
      </c>
      <c r="T357" s="1">
        <f t="shared" si="19"/>
        <v>0</v>
      </c>
      <c r="U357" s="1">
        <f t="shared" si="20"/>
        <v>0</v>
      </c>
    </row>
    <row r="358" spans="1:21" x14ac:dyDescent="0.25">
      <c r="A358" s="1" t="s">
        <v>779</v>
      </c>
      <c r="B358" s="1" t="s">
        <v>767</v>
      </c>
      <c r="C358" s="1" t="s">
        <v>41</v>
      </c>
      <c r="D358" s="2">
        <v>45474</v>
      </c>
      <c r="E358" s="2">
        <v>45507</v>
      </c>
      <c r="F358" s="2">
        <v>45474</v>
      </c>
      <c r="G358" s="2">
        <v>45507</v>
      </c>
      <c r="H358" s="1" t="s">
        <v>20</v>
      </c>
      <c r="I358" s="1">
        <v>100</v>
      </c>
      <c r="J358" s="1">
        <v>13131741</v>
      </c>
      <c r="L358" s="1" t="s">
        <v>780</v>
      </c>
      <c r="M358" s="1" t="s">
        <v>780</v>
      </c>
      <c r="N358" s="1" t="s">
        <v>22</v>
      </c>
      <c r="O358" s="1">
        <v>1</v>
      </c>
      <c r="P358" s="1" t="b">
        <v>1</v>
      </c>
      <c r="R358" s="1">
        <f t="shared" si="22"/>
        <v>0</v>
      </c>
      <c r="T358" s="1">
        <f t="shared" si="19"/>
        <v>0</v>
      </c>
      <c r="U358" s="1">
        <f t="shared" si="20"/>
        <v>0</v>
      </c>
    </row>
    <row r="359" spans="1:21" x14ac:dyDescent="0.25">
      <c r="A359" s="1" t="s">
        <v>781</v>
      </c>
      <c r="B359" s="1" t="s">
        <v>767</v>
      </c>
      <c r="C359" s="1" t="s">
        <v>45</v>
      </c>
      <c r="D359" s="2">
        <v>45507</v>
      </c>
      <c r="E359" s="2">
        <v>45549</v>
      </c>
      <c r="F359" s="2">
        <v>45507</v>
      </c>
      <c r="G359" s="2">
        <v>45549</v>
      </c>
      <c r="H359" s="1" t="s">
        <v>20</v>
      </c>
      <c r="I359" s="1">
        <v>100</v>
      </c>
      <c r="J359" s="1">
        <v>16414677</v>
      </c>
      <c r="L359" s="1" t="s">
        <v>782</v>
      </c>
      <c r="M359" s="1" t="s">
        <v>782</v>
      </c>
      <c r="N359" s="1" t="s">
        <v>22</v>
      </c>
      <c r="O359" s="1">
        <v>1</v>
      </c>
      <c r="P359" s="1" t="b">
        <v>1</v>
      </c>
      <c r="R359" s="1">
        <f t="shared" si="22"/>
        <v>0</v>
      </c>
      <c r="T359" s="1">
        <f t="shared" si="19"/>
        <v>0</v>
      </c>
      <c r="U359" s="1">
        <f t="shared" si="20"/>
        <v>0</v>
      </c>
    </row>
    <row r="360" spans="1:21" x14ac:dyDescent="0.25">
      <c r="A360" s="1" t="s">
        <v>783</v>
      </c>
      <c r="B360" s="1" t="s">
        <v>767</v>
      </c>
      <c r="C360" s="1" t="s">
        <v>48</v>
      </c>
      <c r="D360" s="2">
        <v>45549</v>
      </c>
      <c r="E360" s="2">
        <v>45561</v>
      </c>
      <c r="F360" s="2">
        <v>45549</v>
      </c>
      <c r="G360" s="2">
        <v>45561</v>
      </c>
      <c r="H360" s="1" t="s">
        <v>20</v>
      </c>
      <c r="I360" s="1">
        <v>100</v>
      </c>
      <c r="J360" s="1">
        <v>4924403</v>
      </c>
      <c r="L360" s="1" t="s">
        <v>784</v>
      </c>
      <c r="M360" s="1" t="s">
        <v>784</v>
      </c>
      <c r="N360" s="1" t="s">
        <v>22</v>
      </c>
      <c r="O360" s="1">
        <v>1</v>
      </c>
      <c r="P360" s="1" t="b">
        <v>1</v>
      </c>
      <c r="R360" s="1">
        <f t="shared" si="22"/>
        <v>0</v>
      </c>
      <c r="T360" s="1">
        <f t="shared" si="19"/>
        <v>0</v>
      </c>
      <c r="U360" s="1">
        <f t="shared" si="20"/>
        <v>0</v>
      </c>
    </row>
    <row r="361" spans="1:21" x14ac:dyDescent="0.25">
      <c r="A361" s="1" t="s">
        <v>785</v>
      </c>
      <c r="B361" s="1" t="s">
        <v>767</v>
      </c>
      <c r="C361" s="1" t="s">
        <v>51</v>
      </c>
      <c r="D361" s="2">
        <v>45561</v>
      </c>
      <c r="E361" s="2">
        <v>45569</v>
      </c>
      <c r="F361" s="2">
        <v>45561</v>
      </c>
      <c r="G361" s="2">
        <v>45569</v>
      </c>
      <c r="H361" s="1" t="s">
        <v>20</v>
      </c>
      <c r="I361" s="1">
        <v>100</v>
      </c>
      <c r="J361" s="1">
        <v>3282935</v>
      </c>
      <c r="L361" s="1" t="s">
        <v>786</v>
      </c>
      <c r="M361" s="1" t="s">
        <v>786</v>
      </c>
      <c r="N361" s="1" t="s">
        <v>22</v>
      </c>
      <c r="O361" s="1">
        <v>1</v>
      </c>
      <c r="P361" s="1" t="b">
        <v>1</v>
      </c>
      <c r="R361" s="1">
        <f t="shared" si="22"/>
        <v>0</v>
      </c>
      <c r="T361" s="1">
        <f t="shared" si="19"/>
        <v>0</v>
      </c>
      <c r="U361" s="1">
        <f t="shared" si="20"/>
        <v>0</v>
      </c>
    </row>
    <row r="362" spans="1:21" x14ac:dyDescent="0.25">
      <c r="A362" s="1" t="s">
        <v>787</v>
      </c>
      <c r="B362" s="1" t="s">
        <v>788</v>
      </c>
      <c r="C362" s="1" t="s">
        <v>19</v>
      </c>
      <c r="D362" s="2">
        <v>44000</v>
      </c>
      <c r="E362" s="2">
        <v>44037</v>
      </c>
      <c r="F362" s="2">
        <v>44000</v>
      </c>
      <c r="G362" s="2">
        <v>44037</v>
      </c>
      <c r="H362" s="1" t="s">
        <v>20</v>
      </c>
      <c r="I362" s="1">
        <v>100</v>
      </c>
      <c r="J362" s="1">
        <v>23468347</v>
      </c>
      <c r="L362" s="1" t="s">
        <v>789</v>
      </c>
      <c r="M362" s="1" t="s">
        <v>789</v>
      </c>
      <c r="N362" s="1" t="s">
        <v>22</v>
      </c>
      <c r="O362" s="1">
        <v>1</v>
      </c>
      <c r="P362" s="1" t="b">
        <v>1</v>
      </c>
      <c r="R362" s="1">
        <f t="shared" si="22"/>
        <v>0</v>
      </c>
      <c r="T362" s="1">
        <f t="shared" si="19"/>
        <v>0</v>
      </c>
      <c r="U362" s="1">
        <f t="shared" si="20"/>
        <v>0</v>
      </c>
    </row>
    <row r="363" spans="1:21" x14ac:dyDescent="0.25">
      <c r="A363" s="1" t="s">
        <v>790</v>
      </c>
      <c r="B363" s="1" t="s">
        <v>788</v>
      </c>
      <c r="C363" s="1" t="s">
        <v>24</v>
      </c>
      <c r="D363" s="2">
        <v>44037</v>
      </c>
      <c r="E363" s="2">
        <v>44112</v>
      </c>
      <c r="F363" s="2">
        <v>44037</v>
      </c>
      <c r="G363" s="2">
        <v>44112</v>
      </c>
      <c r="H363" s="1" t="s">
        <v>20</v>
      </c>
      <c r="I363" s="1">
        <v>100</v>
      </c>
      <c r="J363" s="1">
        <v>46936695</v>
      </c>
      <c r="L363" s="1" t="s">
        <v>791</v>
      </c>
      <c r="M363" s="1" t="s">
        <v>791</v>
      </c>
      <c r="N363" s="1" t="s">
        <v>22</v>
      </c>
      <c r="O363" s="1">
        <v>1</v>
      </c>
      <c r="P363" s="1" t="b">
        <v>1</v>
      </c>
      <c r="R363" s="1">
        <f t="shared" si="22"/>
        <v>0</v>
      </c>
      <c r="T363" s="1">
        <f t="shared" si="19"/>
        <v>0</v>
      </c>
      <c r="U363" s="1">
        <f t="shared" si="20"/>
        <v>0</v>
      </c>
    </row>
    <row r="364" spans="1:21" x14ac:dyDescent="0.25">
      <c r="A364" s="1" t="s">
        <v>792</v>
      </c>
      <c r="B364" s="1" t="s">
        <v>788</v>
      </c>
      <c r="C364" s="1" t="s">
        <v>27</v>
      </c>
      <c r="D364" s="2">
        <v>44112</v>
      </c>
      <c r="E364" s="2">
        <v>44202</v>
      </c>
      <c r="F364" s="2">
        <v>44112</v>
      </c>
      <c r="G364" s="2">
        <v>44202</v>
      </c>
      <c r="H364" s="1" t="s">
        <v>20</v>
      </c>
      <c r="I364" s="1">
        <v>100</v>
      </c>
      <c r="J364" s="1">
        <v>56324034</v>
      </c>
      <c r="L364" s="1" t="s">
        <v>793</v>
      </c>
      <c r="M364" s="1" t="s">
        <v>793</v>
      </c>
      <c r="N364" s="1" t="s">
        <v>22</v>
      </c>
      <c r="O364" s="1">
        <v>1</v>
      </c>
      <c r="P364" s="1" t="b">
        <v>1</v>
      </c>
      <c r="Q364" s="1" t="s">
        <v>29</v>
      </c>
      <c r="R364" s="1">
        <f t="shared" si="22"/>
        <v>0</v>
      </c>
      <c r="T364" s="1">
        <f t="shared" si="19"/>
        <v>0</v>
      </c>
      <c r="U364" s="1">
        <f t="shared" si="20"/>
        <v>0</v>
      </c>
    </row>
    <row r="365" spans="1:21" x14ac:dyDescent="0.25">
      <c r="A365" s="1" t="s">
        <v>794</v>
      </c>
      <c r="B365" s="1" t="s">
        <v>788</v>
      </c>
      <c r="C365" s="1" t="s">
        <v>31</v>
      </c>
      <c r="D365" s="2">
        <v>44202</v>
      </c>
      <c r="E365" s="2">
        <v>44314</v>
      </c>
      <c r="F365" s="2">
        <v>44202</v>
      </c>
      <c r="G365" s="2">
        <v>44314</v>
      </c>
      <c r="H365" s="1" t="s">
        <v>20</v>
      </c>
      <c r="I365" s="1">
        <v>100</v>
      </c>
      <c r="J365" s="1">
        <v>70405042</v>
      </c>
      <c r="L365" s="1" t="s">
        <v>795</v>
      </c>
      <c r="M365" s="1" t="s">
        <v>795</v>
      </c>
      <c r="N365" s="1" t="s">
        <v>22</v>
      </c>
      <c r="O365" s="1">
        <v>1</v>
      </c>
      <c r="P365" s="1" t="b">
        <v>1</v>
      </c>
      <c r="R365" s="1">
        <f t="shared" si="22"/>
        <v>0</v>
      </c>
      <c r="T365" s="1">
        <f t="shared" si="19"/>
        <v>0</v>
      </c>
      <c r="U365" s="1">
        <f t="shared" si="20"/>
        <v>0</v>
      </c>
    </row>
    <row r="366" spans="1:21" x14ac:dyDescent="0.25">
      <c r="A366" s="1" t="s">
        <v>796</v>
      </c>
      <c r="B366" s="1" t="s">
        <v>788</v>
      </c>
      <c r="C366" s="1" t="s">
        <v>34</v>
      </c>
      <c r="D366" s="2">
        <v>44314</v>
      </c>
      <c r="E366" s="2">
        <v>44501</v>
      </c>
      <c r="F366" s="2">
        <v>44314</v>
      </c>
      <c r="G366" s="2">
        <v>44501</v>
      </c>
      <c r="H366" s="1" t="s">
        <v>20</v>
      </c>
      <c r="I366" s="1">
        <v>100</v>
      </c>
      <c r="J366" s="1">
        <v>117341738</v>
      </c>
      <c r="L366" s="1" t="s">
        <v>797</v>
      </c>
      <c r="M366" s="1" t="s">
        <v>797</v>
      </c>
      <c r="N366" s="1" t="s">
        <v>22</v>
      </c>
      <c r="O366" s="1">
        <v>1</v>
      </c>
      <c r="P366" s="1" t="b">
        <v>1</v>
      </c>
      <c r="Q366" s="1" t="s">
        <v>29</v>
      </c>
      <c r="R366" s="1">
        <f t="shared" si="22"/>
        <v>0</v>
      </c>
      <c r="T366" s="1">
        <f t="shared" si="19"/>
        <v>0</v>
      </c>
      <c r="U366" s="1">
        <f t="shared" si="20"/>
        <v>0</v>
      </c>
    </row>
    <row r="367" spans="1:21" x14ac:dyDescent="0.25">
      <c r="A367" s="1" t="s">
        <v>798</v>
      </c>
      <c r="B367" s="1" t="s">
        <v>788</v>
      </c>
      <c r="C367" s="1" t="s">
        <v>37</v>
      </c>
      <c r="D367" s="2">
        <v>44501</v>
      </c>
      <c r="E367" s="2">
        <v>44576</v>
      </c>
      <c r="F367" s="2">
        <v>44501</v>
      </c>
      <c r="G367" s="2">
        <v>44576</v>
      </c>
      <c r="H367" s="1" t="s">
        <v>20</v>
      </c>
      <c r="I367" s="1">
        <v>100</v>
      </c>
      <c r="J367" s="1">
        <v>46936695</v>
      </c>
      <c r="L367" s="1" t="s">
        <v>799</v>
      </c>
      <c r="M367" s="1" t="s">
        <v>799</v>
      </c>
      <c r="N367" s="1" t="s">
        <v>22</v>
      </c>
      <c r="O367" s="1">
        <v>1</v>
      </c>
      <c r="P367" s="1" t="b">
        <v>1</v>
      </c>
      <c r="R367" s="1">
        <f t="shared" si="22"/>
        <v>0</v>
      </c>
      <c r="T367" s="1">
        <f t="shared" si="19"/>
        <v>0</v>
      </c>
      <c r="U367" s="1">
        <f t="shared" si="20"/>
        <v>0</v>
      </c>
    </row>
    <row r="368" spans="1:21" x14ac:dyDescent="0.25">
      <c r="A368" s="1" t="s">
        <v>800</v>
      </c>
      <c r="B368" s="1" t="s">
        <v>788</v>
      </c>
      <c r="C368" s="1" t="s">
        <v>41</v>
      </c>
      <c r="D368" s="2">
        <v>44576</v>
      </c>
      <c r="E368" s="2">
        <v>44636</v>
      </c>
      <c r="F368" s="2">
        <v>44576</v>
      </c>
      <c r="G368" s="2">
        <v>44636</v>
      </c>
      <c r="H368" s="1" t="s">
        <v>20</v>
      </c>
      <c r="I368" s="1">
        <v>100</v>
      </c>
      <c r="J368" s="1">
        <v>37549356</v>
      </c>
      <c r="L368" s="1" t="s">
        <v>801</v>
      </c>
      <c r="M368" s="1" t="s">
        <v>801</v>
      </c>
      <c r="N368" s="1" t="s">
        <v>22</v>
      </c>
      <c r="O368" s="1">
        <v>1</v>
      </c>
      <c r="P368" s="1" t="b">
        <v>1</v>
      </c>
      <c r="R368" s="1">
        <f t="shared" si="22"/>
        <v>0</v>
      </c>
      <c r="T368" s="1">
        <f t="shared" si="19"/>
        <v>0</v>
      </c>
      <c r="U368" s="1">
        <f t="shared" si="20"/>
        <v>0</v>
      </c>
    </row>
    <row r="369" spans="1:21" x14ac:dyDescent="0.25">
      <c r="A369" s="1" t="s">
        <v>802</v>
      </c>
      <c r="B369" s="1" t="s">
        <v>788</v>
      </c>
      <c r="C369" s="1" t="s">
        <v>45</v>
      </c>
      <c r="D369" s="2">
        <v>44636</v>
      </c>
      <c r="E369" s="2">
        <v>44711</v>
      </c>
      <c r="F369" s="2">
        <v>44636</v>
      </c>
      <c r="G369" s="2">
        <v>44711</v>
      </c>
      <c r="H369" s="1" t="s">
        <v>20</v>
      </c>
      <c r="I369" s="1">
        <v>100</v>
      </c>
      <c r="J369" s="1">
        <v>46936695</v>
      </c>
      <c r="L369" s="1" t="s">
        <v>803</v>
      </c>
      <c r="M369" s="1" t="s">
        <v>803</v>
      </c>
      <c r="N369" s="1" t="s">
        <v>22</v>
      </c>
      <c r="O369" s="1">
        <v>1</v>
      </c>
      <c r="P369" s="1" t="b">
        <v>1</v>
      </c>
      <c r="R369" s="1">
        <f t="shared" si="22"/>
        <v>0</v>
      </c>
      <c r="T369" s="1">
        <f t="shared" si="19"/>
        <v>0</v>
      </c>
      <c r="U369" s="1">
        <f t="shared" si="20"/>
        <v>0</v>
      </c>
    </row>
    <row r="370" spans="1:21" x14ac:dyDescent="0.25">
      <c r="A370" s="1" t="s">
        <v>804</v>
      </c>
      <c r="B370" s="1" t="s">
        <v>788</v>
      </c>
      <c r="C370" s="1" t="s">
        <v>48</v>
      </c>
      <c r="D370" s="2">
        <v>44711</v>
      </c>
      <c r="E370" s="2">
        <v>44733</v>
      </c>
      <c r="F370" s="2">
        <v>44711</v>
      </c>
      <c r="G370" s="2">
        <v>44733</v>
      </c>
      <c r="H370" s="1" t="s">
        <v>20</v>
      </c>
      <c r="I370" s="1">
        <v>100</v>
      </c>
      <c r="J370" s="1">
        <v>14081008</v>
      </c>
      <c r="L370" s="1" t="s">
        <v>805</v>
      </c>
      <c r="M370" s="1" t="s">
        <v>805</v>
      </c>
      <c r="N370" s="1" t="s">
        <v>22</v>
      </c>
      <c r="O370" s="1">
        <v>1</v>
      </c>
      <c r="P370" s="1" t="b">
        <v>1</v>
      </c>
      <c r="R370" s="1">
        <f t="shared" si="22"/>
        <v>0</v>
      </c>
      <c r="T370" s="1">
        <f t="shared" si="19"/>
        <v>0</v>
      </c>
      <c r="U370" s="1">
        <f t="shared" si="20"/>
        <v>0</v>
      </c>
    </row>
    <row r="371" spans="1:21" x14ac:dyDescent="0.25">
      <c r="A371" s="1" t="s">
        <v>806</v>
      </c>
      <c r="B371" s="1" t="s">
        <v>788</v>
      </c>
      <c r="C371" s="1" t="s">
        <v>51</v>
      </c>
      <c r="D371" s="2">
        <v>44733</v>
      </c>
      <c r="E371" s="2">
        <v>44748</v>
      </c>
      <c r="F371" s="2">
        <v>44733</v>
      </c>
      <c r="G371" s="2">
        <v>44748</v>
      </c>
      <c r="H371" s="1" t="s">
        <v>20</v>
      </c>
      <c r="I371" s="1">
        <v>100</v>
      </c>
      <c r="J371" s="1">
        <v>9387339</v>
      </c>
      <c r="L371" s="1" t="s">
        <v>807</v>
      </c>
      <c r="M371" s="1" t="s">
        <v>807</v>
      </c>
      <c r="N371" s="1" t="s">
        <v>22</v>
      </c>
      <c r="O371" s="1">
        <v>1</v>
      </c>
      <c r="P371" s="1" t="b">
        <v>1</v>
      </c>
      <c r="R371" s="1">
        <f t="shared" si="22"/>
        <v>0</v>
      </c>
      <c r="T371" s="1">
        <f t="shared" si="19"/>
        <v>0</v>
      </c>
      <c r="U371" s="1">
        <f t="shared" si="20"/>
        <v>0</v>
      </c>
    </row>
    <row r="372" spans="1:21" x14ac:dyDescent="0.25">
      <c r="A372" s="1" t="s">
        <v>808</v>
      </c>
      <c r="B372" s="1" t="s">
        <v>809</v>
      </c>
      <c r="C372" s="1" t="s">
        <v>19</v>
      </c>
      <c r="D372" s="2">
        <v>44511</v>
      </c>
      <c r="E372" s="2">
        <v>44536</v>
      </c>
      <c r="F372" s="2">
        <v>44511</v>
      </c>
      <c r="G372" s="2">
        <v>44536</v>
      </c>
      <c r="H372" s="1" t="s">
        <v>20</v>
      </c>
      <c r="I372" s="1">
        <v>100</v>
      </c>
      <c r="J372" s="1">
        <v>2216236</v>
      </c>
      <c r="L372" s="1" t="s">
        <v>810</v>
      </c>
      <c r="M372" s="1" t="s">
        <v>810</v>
      </c>
      <c r="N372" s="1" t="s">
        <v>22</v>
      </c>
      <c r="O372" s="1">
        <v>1</v>
      </c>
      <c r="P372" s="1" t="b">
        <v>1</v>
      </c>
      <c r="R372" s="1">
        <f t="shared" si="22"/>
        <v>0</v>
      </c>
      <c r="T372" s="1">
        <f t="shared" si="19"/>
        <v>0</v>
      </c>
      <c r="U372" s="1">
        <f t="shared" si="20"/>
        <v>0</v>
      </c>
    </row>
    <row r="373" spans="1:21" x14ac:dyDescent="0.25">
      <c r="A373" s="1" t="s">
        <v>811</v>
      </c>
      <c r="B373" s="1" t="s">
        <v>809</v>
      </c>
      <c r="C373" s="1" t="s">
        <v>24</v>
      </c>
      <c r="D373" s="2">
        <v>44536</v>
      </c>
      <c r="E373" s="2">
        <v>44587</v>
      </c>
      <c r="F373" s="2">
        <v>44536</v>
      </c>
      <c r="G373" s="2">
        <v>44587</v>
      </c>
      <c r="H373" s="1" t="s">
        <v>20</v>
      </c>
      <c r="I373" s="1">
        <v>100</v>
      </c>
      <c r="J373" s="1">
        <v>4432473</v>
      </c>
      <c r="L373" s="1" t="s">
        <v>812</v>
      </c>
      <c r="M373" s="1" t="s">
        <v>812</v>
      </c>
      <c r="N373" s="1" t="s">
        <v>22</v>
      </c>
      <c r="O373" s="1">
        <v>1</v>
      </c>
      <c r="P373" s="1" t="b">
        <v>1</v>
      </c>
      <c r="R373" s="1">
        <f t="shared" si="22"/>
        <v>0</v>
      </c>
      <c r="T373" s="1">
        <f t="shared" si="19"/>
        <v>0</v>
      </c>
      <c r="U373" s="1">
        <f t="shared" si="20"/>
        <v>0</v>
      </c>
    </row>
    <row r="374" spans="1:21" x14ac:dyDescent="0.25">
      <c r="A374" s="1" t="s">
        <v>813</v>
      </c>
      <c r="B374" s="1" t="s">
        <v>809</v>
      </c>
      <c r="C374" s="1" t="s">
        <v>27</v>
      </c>
      <c r="D374" s="2">
        <v>44587</v>
      </c>
      <c r="E374" s="2">
        <v>44648</v>
      </c>
      <c r="F374" s="2">
        <v>44587</v>
      </c>
      <c r="G374" s="2">
        <v>44648</v>
      </c>
      <c r="H374" s="1" t="s">
        <v>20</v>
      </c>
      <c r="I374" s="1">
        <v>100</v>
      </c>
      <c r="J374" s="1">
        <v>5318968</v>
      </c>
      <c r="L374" s="1" t="s">
        <v>814</v>
      </c>
      <c r="M374" s="1" t="s">
        <v>814</v>
      </c>
      <c r="N374" s="1" t="s">
        <v>22</v>
      </c>
      <c r="O374" s="1">
        <v>1</v>
      </c>
      <c r="P374" s="1" t="b">
        <v>1</v>
      </c>
      <c r="Q374" s="1" t="s">
        <v>29</v>
      </c>
      <c r="R374" s="1">
        <f t="shared" si="22"/>
        <v>0</v>
      </c>
      <c r="T374" s="1">
        <f t="shared" si="19"/>
        <v>0</v>
      </c>
      <c r="U374" s="1">
        <f t="shared" si="20"/>
        <v>0</v>
      </c>
    </row>
    <row r="375" spans="1:21" x14ac:dyDescent="0.25">
      <c r="A375" s="1" t="s">
        <v>815</v>
      </c>
      <c r="B375" s="1" t="s">
        <v>809</v>
      </c>
      <c r="C375" s="1" t="s">
        <v>31</v>
      </c>
      <c r="D375" s="2">
        <v>44648</v>
      </c>
      <c r="E375" s="2">
        <v>44724</v>
      </c>
      <c r="F375" s="2">
        <v>44648</v>
      </c>
      <c r="G375" s="2">
        <v>44724</v>
      </c>
      <c r="H375" s="1" t="s">
        <v>20</v>
      </c>
      <c r="I375" s="1">
        <v>100</v>
      </c>
      <c r="J375" s="1">
        <v>6648710</v>
      </c>
      <c r="L375" s="1" t="s">
        <v>816</v>
      </c>
      <c r="M375" s="1" t="s">
        <v>816</v>
      </c>
      <c r="N375" s="1" t="s">
        <v>22</v>
      </c>
      <c r="O375" s="1">
        <v>1</v>
      </c>
      <c r="P375" s="1" t="b">
        <v>1</v>
      </c>
      <c r="R375" s="1">
        <f t="shared" si="22"/>
        <v>0</v>
      </c>
      <c r="T375" s="1">
        <f t="shared" si="19"/>
        <v>0</v>
      </c>
      <c r="U375" s="1">
        <f t="shared" si="20"/>
        <v>0</v>
      </c>
    </row>
    <row r="376" spans="1:21" x14ac:dyDescent="0.25">
      <c r="A376" s="1" t="s">
        <v>817</v>
      </c>
      <c r="B376" s="1" t="s">
        <v>809</v>
      </c>
      <c r="C376" s="1" t="s">
        <v>34</v>
      </c>
      <c r="D376" s="2">
        <v>44724</v>
      </c>
      <c r="E376" s="2">
        <v>44851</v>
      </c>
      <c r="F376" s="2">
        <v>44724</v>
      </c>
      <c r="G376" s="2">
        <v>44851</v>
      </c>
      <c r="H376" s="1" t="s">
        <v>20</v>
      </c>
      <c r="I376" s="1">
        <v>100</v>
      </c>
      <c r="J376" s="1">
        <v>11081184</v>
      </c>
      <c r="L376" s="1" t="s">
        <v>818</v>
      </c>
      <c r="M376" s="1" t="s">
        <v>818</v>
      </c>
      <c r="N376" s="1" t="s">
        <v>22</v>
      </c>
      <c r="O376" s="1">
        <v>1</v>
      </c>
      <c r="P376" s="1" t="b">
        <v>1</v>
      </c>
      <c r="Q376" s="1" t="s">
        <v>29</v>
      </c>
      <c r="R376" s="1">
        <f t="shared" si="22"/>
        <v>0</v>
      </c>
      <c r="T376" s="1">
        <f t="shared" si="19"/>
        <v>0</v>
      </c>
      <c r="U376" s="1">
        <f t="shared" si="20"/>
        <v>0</v>
      </c>
    </row>
    <row r="377" spans="1:21" x14ac:dyDescent="0.25">
      <c r="A377" s="1" t="s">
        <v>819</v>
      </c>
      <c r="B377" s="1" t="s">
        <v>809</v>
      </c>
      <c r="C377" s="1" t="s">
        <v>37</v>
      </c>
      <c r="D377" s="2">
        <v>44851</v>
      </c>
      <c r="E377" s="2">
        <v>44902</v>
      </c>
      <c r="F377" s="2">
        <v>44851</v>
      </c>
      <c r="G377" s="2">
        <v>44902</v>
      </c>
      <c r="H377" s="1" t="s">
        <v>20</v>
      </c>
      <c r="I377" s="1">
        <v>100</v>
      </c>
      <c r="J377" s="1">
        <v>4432473</v>
      </c>
      <c r="L377" s="1" t="s">
        <v>820</v>
      </c>
      <c r="M377" s="1" t="s">
        <v>820</v>
      </c>
      <c r="N377" s="1" t="s">
        <v>22</v>
      </c>
      <c r="O377" s="1">
        <v>1</v>
      </c>
      <c r="P377" s="1" t="b">
        <v>1</v>
      </c>
      <c r="R377" s="1">
        <f t="shared" si="22"/>
        <v>0</v>
      </c>
      <c r="T377" s="1">
        <f t="shared" si="19"/>
        <v>0</v>
      </c>
      <c r="U377" s="1">
        <f t="shared" si="20"/>
        <v>0</v>
      </c>
    </row>
    <row r="378" spans="1:21" x14ac:dyDescent="0.25">
      <c r="A378" s="1" t="s">
        <v>821</v>
      </c>
      <c r="B378" s="1" t="s">
        <v>809</v>
      </c>
      <c r="C378" s="1" t="s">
        <v>41</v>
      </c>
      <c r="D378" s="2">
        <v>44902</v>
      </c>
      <c r="E378" s="2">
        <v>44942</v>
      </c>
      <c r="F378" s="2">
        <v>44902</v>
      </c>
      <c r="G378" s="2">
        <v>44942</v>
      </c>
      <c r="H378" s="1" t="s">
        <v>20</v>
      </c>
      <c r="I378" s="1">
        <v>100</v>
      </c>
      <c r="J378" s="1">
        <v>3545978</v>
      </c>
      <c r="L378" s="1" t="s">
        <v>822</v>
      </c>
      <c r="M378" s="1" t="s">
        <v>822</v>
      </c>
      <c r="N378" s="1" t="s">
        <v>22</v>
      </c>
      <c r="O378" s="1">
        <v>1</v>
      </c>
      <c r="P378" s="1" t="b">
        <v>1</v>
      </c>
      <c r="R378" s="1">
        <f t="shared" si="22"/>
        <v>0</v>
      </c>
      <c r="T378" s="1">
        <f t="shared" si="19"/>
        <v>0</v>
      </c>
      <c r="U378" s="1">
        <f t="shared" si="20"/>
        <v>0</v>
      </c>
    </row>
    <row r="379" spans="1:21" x14ac:dyDescent="0.25">
      <c r="A379" s="1" t="s">
        <v>823</v>
      </c>
      <c r="B379" s="1" t="s">
        <v>809</v>
      </c>
      <c r="C379" s="1" t="s">
        <v>45</v>
      </c>
      <c r="D379" s="2">
        <v>44942</v>
      </c>
      <c r="E379" s="2">
        <v>44993</v>
      </c>
      <c r="F379" s="2">
        <v>44942</v>
      </c>
      <c r="G379" s="2">
        <v>44993</v>
      </c>
      <c r="H379" s="1" t="s">
        <v>20</v>
      </c>
      <c r="I379" s="1">
        <v>100</v>
      </c>
      <c r="J379" s="1">
        <v>4432473</v>
      </c>
      <c r="L379" s="1" t="s">
        <v>824</v>
      </c>
      <c r="M379" s="1" t="s">
        <v>824</v>
      </c>
      <c r="N379" s="1" t="s">
        <v>22</v>
      </c>
      <c r="O379" s="1">
        <v>1</v>
      </c>
      <c r="P379" s="1" t="b">
        <v>1</v>
      </c>
      <c r="R379" s="1">
        <f t="shared" si="22"/>
        <v>0</v>
      </c>
      <c r="T379" s="1">
        <f t="shared" si="19"/>
        <v>0</v>
      </c>
      <c r="U379" s="1">
        <f t="shared" si="20"/>
        <v>0</v>
      </c>
    </row>
    <row r="380" spans="1:21" x14ac:dyDescent="0.25">
      <c r="A380" s="1" t="s">
        <v>825</v>
      </c>
      <c r="B380" s="1" t="s">
        <v>809</v>
      </c>
      <c r="C380" s="1" t="s">
        <v>48</v>
      </c>
      <c r="D380" s="2">
        <v>44993</v>
      </c>
      <c r="E380" s="2">
        <v>45008</v>
      </c>
      <c r="F380" s="2">
        <v>44993</v>
      </c>
      <c r="G380" s="2">
        <v>45008</v>
      </c>
      <c r="H380" s="1" t="s">
        <v>20</v>
      </c>
      <c r="I380" s="1">
        <v>100</v>
      </c>
      <c r="J380" s="1">
        <v>1329742</v>
      </c>
      <c r="L380" s="1" t="s">
        <v>826</v>
      </c>
      <c r="M380" s="1" t="s">
        <v>826</v>
      </c>
      <c r="N380" s="1" t="s">
        <v>22</v>
      </c>
      <c r="O380" s="1">
        <v>1</v>
      </c>
      <c r="P380" s="1" t="b">
        <v>1</v>
      </c>
      <c r="R380" s="1">
        <f t="shared" si="22"/>
        <v>0</v>
      </c>
      <c r="T380" s="1">
        <f t="shared" si="19"/>
        <v>0</v>
      </c>
      <c r="U380" s="1">
        <f t="shared" si="20"/>
        <v>0</v>
      </c>
    </row>
    <row r="381" spans="1:21" x14ac:dyDescent="0.25">
      <c r="A381" s="1" t="s">
        <v>827</v>
      </c>
      <c r="B381" s="1" t="s">
        <v>809</v>
      </c>
      <c r="C381" s="1" t="s">
        <v>51</v>
      </c>
      <c r="D381" s="2">
        <v>45008</v>
      </c>
      <c r="E381" s="2">
        <v>45018</v>
      </c>
      <c r="F381" s="2">
        <v>45008</v>
      </c>
      <c r="G381" s="2">
        <v>45018</v>
      </c>
      <c r="H381" s="1" t="s">
        <v>20</v>
      </c>
      <c r="I381" s="1">
        <v>100</v>
      </c>
      <c r="J381" s="1">
        <v>886494</v>
      </c>
      <c r="L381" s="1" t="s">
        <v>828</v>
      </c>
      <c r="M381" s="1" t="s">
        <v>828</v>
      </c>
      <c r="N381" s="1" t="s">
        <v>22</v>
      </c>
      <c r="O381" s="1">
        <v>1</v>
      </c>
      <c r="P381" s="1" t="b">
        <v>1</v>
      </c>
      <c r="R381" s="1">
        <f t="shared" si="22"/>
        <v>0</v>
      </c>
      <c r="T381" s="1">
        <f t="shared" si="19"/>
        <v>0</v>
      </c>
      <c r="U381" s="1">
        <f t="shared" si="20"/>
        <v>0</v>
      </c>
    </row>
    <row r="382" spans="1:21" x14ac:dyDescent="0.25">
      <c r="A382" s="1" t="s">
        <v>829</v>
      </c>
      <c r="B382" s="1" t="s">
        <v>830</v>
      </c>
      <c r="C382" s="1" t="s">
        <v>19</v>
      </c>
      <c r="D382" s="2">
        <v>44901</v>
      </c>
      <c r="E382" s="2">
        <v>44920</v>
      </c>
      <c r="F382" s="2">
        <v>44901</v>
      </c>
      <c r="G382" s="2">
        <v>44920</v>
      </c>
      <c r="H382" s="1" t="s">
        <v>20</v>
      </c>
      <c r="I382" s="1">
        <v>100</v>
      </c>
      <c r="J382" s="1">
        <v>10705611</v>
      </c>
      <c r="L382" s="1" t="s">
        <v>831</v>
      </c>
      <c r="M382" s="1" t="s">
        <v>831</v>
      </c>
      <c r="N382" s="1" t="s">
        <v>22</v>
      </c>
      <c r="O382" s="1">
        <v>1</v>
      </c>
      <c r="P382" s="1" t="b">
        <v>1</v>
      </c>
      <c r="R382" s="1">
        <f t="shared" si="22"/>
        <v>0</v>
      </c>
      <c r="T382" s="1">
        <f t="shared" si="19"/>
        <v>0</v>
      </c>
      <c r="U382" s="1">
        <f t="shared" si="20"/>
        <v>0</v>
      </c>
    </row>
    <row r="383" spans="1:21" x14ac:dyDescent="0.25">
      <c r="A383" s="1" t="s">
        <v>832</v>
      </c>
      <c r="B383" s="1" t="s">
        <v>830</v>
      </c>
      <c r="C383" s="1" t="s">
        <v>24</v>
      </c>
      <c r="D383" s="2">
        <v>44920</v>
      </c>
      <c r="E383" s="2">
        <v>44959</v>
      </c>
      <c r="F383" s="2">
        <v>44920</v>
      </c>
      <c r="G383" s="2">
        <v>44959</v>
      </c>
      <c r="H383" s="1" t="s">
        <v>20</v>
      </c>
      <c r="I383" s="1">
        <v>100</v>
      </c>
      <c r="J383" s="1">
        <v>21411222</v>
      </c>
      <c r="L383" s="1" t="s">
        <v>833</v>
      </c>
      <c r="M383" s="1" t="s">
        <v>833</v>
      </c>
      <c r="N383" s="1" t="s">
        <v>22</v>
      </c>
      <c r="O383" s="1">
        <v>1</v>
      </c>
      <c r="P383" s="1" t="b">
        <v>1</v>
      </c>
      <c r="R383" s="1">
        <f t="shared" si="22"/>
        <v>0</v>
      </c>
      <c r="T383" s="1">
        <f t="shared" si="19"/>
        <v>0</v>
      </c>
      <c r="U383" s="1">
        <f t="shared" si="20"/>
        <v>0</v>
      </c>
    </row>
    <row r="384" spans="1:21" x14ac:dyDescent="0.25">
      <c r="A384" s="1" t="s">
        <v>834</v>
      </c>
      <c r="B384" s="1" t="s">
        <v>830</v>
      </c>
      <c r="C384" s="1" t="s">
        <v>27</v>
      </c>
      <c r="D384" s="2">
        <v>44959</v>
      </c>
      <c r="E384" s="2">
        <v>45005</v>
      </c>
      <c r="F384" s="2">
        <v>44959</v>
      </c>
      <c r="G384" s="2">
        <v>45005</v>
      </c>
      <c r="H384" s="1" t="s">
        <v>20</v>
      </c>
      <c r="I384" s="1">
        <v>100</v>
      </c>
      <c r="J384" s="1">
        <v>25693466</v>
      </c>
      <c r="L384" s="1" t="s">
        <v>835</v>
      </c>
      <c r="M384" s="1" t="s">
        <v>835</v>
      </c>
      <c r="N384" s="1" t="s">
        <v>22</v>
      </c>
      <c r="O384" s="1">
        <v>1</v>
      </c>
      <c r="P384" s="1" t="b">
        <v>1</v>
      </c>
      <c r="Q384" s="1" t="s">
        <v>29</v>
      </c>
      <c r="R384" s="1">
        <f t="shared" si="22"/>
        <v>0</v>
      </c>
      <c r="T384" s="1">
        <f t="shared" si="19"/>
        <v>0</v>
      </c>
      <c r="U384" s="1">
        <f t="shared" si="20"/>
        <v>0</v>
      </c>
    </row>
    <row r="385" spans="1:21" x14ac:dyDescent="0.25">
      <c r="A385" s="1" t="s">
        <v>836</v>
      </c>
      <c r="B385" s="1" t="s">
        <v>830</v>
      </c>
      <c r="C385" s="1" t="s">
        <v>31</v>
      </c>
      <c r="D385" s="2">
        <v>45005</v>
      </c>
      <c r="E385" s="2">
        <v>45063</v>
      </c>
      <c r="F385" s="2">
        <v>45005</v>
      </c>
      <c r="G385" s="2">
        <v>45063</v>
      </c>
      <c r="H385" s="1" t="s">
        <v>20</v>
      </c>
      <c r="I385" s="1">
        <v>100</v>
      </c>
      <c r="J385" s="1">
        <v>32116833</v>
      </c>
      <c r="L385" s="1" t="s">
        <v>837</v>
      </c>
      <c r="M385" s="1" t="s">
        <v>837</v>
      </c>
      <c r="N385" s="1" t="s">
        <v>22</v>
      </c>
      <c r="O385" s="1">
        <v>1</v>
      </c>
      <c r="P385" s="1" t="b">
        <v>1</v>
      </c>
      <c r="R385" s="1">
        <f t="shared" si="22"/>
        <v>0</v>
      </c>
      <c r="T385" s="1">
        <f t="shared" si="19"/>
        <v>0</v>
      </c>
      <c r="U385" s="1">
        <f t="shared" si="20"/>
        <v>0</v>
      </c>
    </row>
    <row r="386" spans="1:21" x14ac:dyDescent="0.25">
      <c r="A386" s="1" t="s">
        <v>838</v>
      </c>
      <c r="B386" s="1" t="s">
        <v>830</v>
      </c>
      <c r="C386" s="1" t="s">
        <v>34</v>
      </c>
      <c r="D386" s="2">
        <v>45063</v>
      </c>
      <c r="E386" s="2">
        <v>45160</v>
      </c>
      <c r="F386" s="2">
        <v>45063</v>
      </c>
      <c r="G386" s="2">
        <v>45160</v>
      </c>
      <c r="H386" s="1" t="s">
        <v>20</v>
      </c>
      <c r="I386" s="1">
        <v>100</v>
      </c>
      <c r="J386" s="1">
        <v>53528055</v>
      </c>
      <c r="L386" s="1" t="s">
        <v>839</v>
      </c>
      <c r="M386" s="1" t="s">
        <v>839</v>
      </c>
      <c r="N386" s="1" t="s">
        <v>22</v>
      </c>
      <c r="O386" s="1">
        <v>1</v>
      </c>
      <c r="P386" s="1" t="b">
        <v>1</v>
      </c>
      <c r="Q386" s="1" t="s">
        <v>29</v>
      </c>
      <c r="R386" s="1">
        <f t="shared" si="22"/>
        <v>0</v>
      </c>
      <c r="T386" s="1">
        <f t="shared" si="19"/>
        <v>0</v>
      </c>
      <c r="U386" s="1">
        <f t="shared" si="20"/>
        <v>0</v>
      </c>
    </row>
    <row r="387" spans="1:21" x14ac:dyDescent="0.25">
      <c r="A387" s="1" t="s">
        <v>840</v>
      </c>
      <c r="B387" s="1" t="s">
        <v>830</v>
      </c>
      <c r="C387" s="1" t="s">
        <v>37</v>
      </c>
      <c r="D387" s="2">
        <v>45160</v>
      </c>
      <c r="E387" s="2">
        <v>45199</v>
      </c>
      <c r="F387" s="2">
        <v>45160</v>
      </c>
      <c r="G387" s="2">
        <v>45199</v>
      </c>
      <c r="H387" s="1" t="s">
        <v>20</v>
      </c>
      <c r="I387" s="1">
        <v>100</v>
      </c>
      <c r="J387" s="1">
        <v>21411222</v>
      </c>
      <c r="L387" s="1" t="s">
        <v>841</v>
      </c>
      <c r="M387" s="1" t="s">
        <v>841</v>
      </c>
      <c r="N387" s="1" t="s">
        <v>22</v>
      </c>
      <c r="O387" s="1">
        <v>1</v>
      </c>
      <c r="P387" s="1" t="b">
        <v>1</v>
      </c>
      <c r="R387" s="1">
        <f t="shared" si="22"/>
        <v>0</v>
      </c>
      <c r="T387" s="1">
        <f t="shared" ref="T387:T450" si="23">IF(S387&gt;0,1,0)</f>
        <v>0</v>
      </c>
      <c r="U387" s="1">
        <f t="shared" ref="U387:U450" si="24">IF(S387&gt;0,S387,0)</f>
        <v>0</v>
      </c>
    </row>
    <row r="388" spans="1:21" x14ac:dyDescent="0.25">
      <c r="A388" s="1" t="s">
        <v>842</v>
      </c>
      <c r="B388" s="1" t="s">
        <v>830</v>
      </c>
      <c r="C388" s="1" t="s">
        <v>41</v>
      </c>
      <c r="D388" s="2">
        <v>45199</v>
      </c>
      <c r="E388" s="2">
        <v>45230</v>
      </c>
      <c r="F388" s="2">
        <v>45199</v>
      </c>
      <c r="G388" s="2">
        <v>45230</v>
      </c>
      <c r="H388" s="1" t="s">
        <v>20</v>
      </c>
      <c r="I388" s="1">
        <v>100</v>
      </c>
      <c r="J388" s="1">
        <v>17128977</v>
      </c>
      <c r="L388" s="1" t="s">
        <v>843</v>
      </c>
      <c r="M388" s="1" t="s">
        <v>843</v>
      </c>
      <c r="N388" s="1" t="s">
        <v>22</v>
      </c>
      <c r="O388" s="1">
        <v>1</v>
      </c>
      <c r="P388" s="1" t="b">
        <v>1</v>
      </c>
      <c r="R388" s="1">
        <f t="shared" si="22"/>
        <v>0</v>
      </c>
      <c r="T388" s="1">
        <f t="shared" si="23"/>
        <v>0</v>
      </c>
      <c r="U388" s="1">
        <f t="shared" si="24"/>
        <v>0</v>
      </c>
    </row>
    <row r="389" spans="1:21" x14ac:dyDescent="0.25">
      <c r="A389" s="1" t="s">
        <v>844</v>
      </c>
      <c r="B389" s="1" t="s">
        <v>830</v>
      </c>
      <c r="C389" s="1" t="s">
        <v>45</v>
      </c>
      <c r="D389" s="2">
        <v>45230</v>
      </c>
      <c r="E389" s="2">
        <v>45269</v>
      </c>
      <c r="F389" s="2">
        <v>45230</v>
      </c>
      <c r="G389" s="2">
        <v>45269</v>
      </c>
      <c r="H389" s="1" t="s">
        <v>20</v>
      </c>
      <c r="I389" s="1">
        <v>100</v>
      </c>
      <c r="J389" s="1">
        <v>21411222</v>
      </c>
      <c r="L389" s="1" t="s">
        <v>845</v>
      </c>
      <c r="M389" s="1" t="s">
        <v>845</v>
      </c>
      <c r="N389" s="1" t="s">
        <v>22</v>
      </c>
      <c r="O389" s="1">
        <v>1</v>
      </c>
      <c r="P389" s="1" t="b">
        <v>1</v>
      </c>
      <c r="R389" s="1">
        <f t="shared" si="22"/>
        <v>0</v>
      </c>
      <c r="T389" s="1">
        <f t="shared" si="23"/>
        <v>0</v>
      </c>
      <c r="U389" s="1">
        <f t="shared" si="24"/>
        <v>0</v>
      </c>
    </row>
    <row r="390" spans="1:21" x14ac:dyDescent="0.25">
      <c r="A390" s="1" t="s">
        <v>846</v>
      </c>
      <c r="B390" s="1" t="s">
        <v>830</v>
      </c>
      <c r="C390" s="1" t="s">
        <v>48</v>
      </c>
      <c r="D390" s="2">
        <v>45269</v>
      </c>
      <c r="E390" s="2">
        <v>45280</v>
      </c>
      <c r="F390" s="2">
        <v>45269</v>
      </c>
      <c r="G390" s="2">
        <v>45280</v>
      </c>
      <c r="H390" s="1" t="s">
        <v>20</v>
      </c>
      <c r="I390" s="1">
        <v>100</v>
      </c>
      <c r="J390" s="1">
        <v>6423366</v>
      </c>
      <c r="L390" s="1" t="s">
        <v>847</v>
      </c>
      <c r="M390" s="1" t="s">
        <v>847</v>
      </c>
      <c r="N390" s="1" t="s">
        <v>22</v>
      </c>
      <c r="O390" s="1">
        <v>1</v>
      </c>
      <c r="P390" s="1" t="b">
        <v>1</v>
      </c>
      <c r="R390" s="1">
        <f t="shared" si="22"/>
        <v>0</v>
      </c>
      <c r="T390" s="1">
        <f t="shared" si="23"/>
        <v>0</v>
      </c>
      <c r="U390" s="1">
        <f t="shared" si="24"/>
        <v>0</v>
      </c>
    </row>
    <row r="391" spans="1:21" x14ac:dyDescent="0.25">
      <c r="A391" s="1" t="s">
        <v>848</v>
      </c>
      <c r="B391" s="1" t="s">
        <v>830</v>
      </c>
      <c r="C391" s="1" t="s">
        <v>51</v>
      </c>
      <c r="D391" s="2">
        <v>45280</v>
      </c>
      <c r="E391" s="2">
        <v>45287</v>
      </c>
      <c r="F391" s="2">
        <v>45280</v>
      </c>
      <c r="G391" s="2">
        <v>45287</v>
      </c>
      <c r="H391" s="1" t="s">
        <v>20</v>
      </c>
      <c r="I391" s="1">
        <v>100</v>
      </c>
      <c r="J391" s="1">
        <v>4282244</v>
      </c>
      <c r="L391" s="1" t="s">
        <v>849</v>
      </c>
      <c r="M391" s="1" t="s">
        <v>849</v>
      </c>
      <c r="N391" s="1" t="s">
        <v>22</v>
      </c>
      <c r="O391" s="1">
        <v>1</v>
      </c>
      <c r="P391" s="1" t="b">
        <v>1</v>
      </c>
      <c r="R391" s="1">
        <f t="shared" si="22"/>
        <v>0</v>
      </c>
      <c r="T391" s="1">
        <f t="shared" si="23"/>
        <v>0</v>
      </c>
      <c r="U391" s="1">
        <f t="shared" si="24"/>
        <v>0</v>
      </c>
    </row>
    <row r="392" spans="1:21" x14ac:dyDescent="0.25">
      <c r="A392" s="1" t="s">
        <v>850</v>
      </c>
      <c r="B392" s="1" t="s">
        <v>851</v>
      </c>
      <c r="C392" s="1" t="s">
        <v>19</v>
      </c>
      <c r="D392" s="2">
        <v>45751</v>
      </c>
      <c r="E392" s="2">
        <v>45797</v>
      </c>
      <c r="F392" s="2">
        <v>45751</v>
      </c>
      <c r="G392" s="2">
        <v>45797</v>
      </c>
      <c r="H392" s="1" t="s">
        <v>20</v>
      </c>
      <c r="I392" s="1">
        <v>100</v>
      </c>
      <c r="J392" s="1">
        <v>16532377</v>
      </c>
      <c r="L392" s="1" t="s">
        <v>852</v>
      </c>
      <c r="M392" s="1" t="s">
        <v>852</v>
      </c>
      <c r="N392" s="1" t="s">
        <v>22</v>
      </c>
      <c r="O392" s="1">
        <v>1</v>
      </c>
      <c r="P392" s="1" t="b">
        <v>1</v>
      </c>
      <c r="R392" s="1">
        <f t="shared" si="22"/>
        <v>0</v>
      </c>
      <c r="T392" s="1">
        <f t="shared" si="23"/>
        <v>0</v>
      </c>
      <c r="U392" s="1">
        <f t="shared" si="24"/>
        <v>0</v>
      </c>
    </row>
    <row r="393" spans="1:21" x14ac:dyDescent="0.25">
      <c r="A393" s="1" t="s">
        <v>853</v>
      </c>
      <c r="B393" s="1" t="s">
        <v>851</v>
      </c>
      <c r="C393" s="1" t="s">
        <v>24</v>
      </c>
      <c r="D393" s="2">
        <v>45797</v>
      </c>
      <c r="E393" s="2">
        <v>45890</v>
      </c>
      <c r="F393" s="2">
        <v>45797</v>
      </c>
      <c r="G393" s="2">
        <v>45890</v>
      </c>
      <c r="H393" s="1" t="s">
        <v>20</v>
      </c>
      <c r="I393" s="1">
        <v>100</v>
      </c>
      <c r="J393" s="1">
        <v>33064755</v>
      </c>
      <c r="L393" s="1" t="s">
        <v>854</v>
      </c>
      <c r="M393" s="1" t="s">
        <v>854</v>
      </c>
      <c r="N393" s="1" t="s">
        <v>22</v>
      </c>
      <c r="O393" s="1">
        <v>1</v>
      </c>
      <c r="P393" s="1" t="b">
        <v>1</v>
      </c>
      <c r="R393" s="1">
        <f t="shared" si="22"/>
        <v>0</v>
      </c>
      <c r="T393" s="1">
        <f t="shared" si="23"/>
        <v>0</v>
      </c>
      <c r="U393" s="1">
        <f t="shared" si="24"/>
        <v>0</v>
      </c>
    </row>
    <row r="394" spans="1:21" x14ac:dyDescent="0.25">
      <c r="A394" s="1" t="s">
        <v>855</v>
      </c>
      <c r="B394" s="1" t="s">
        <v>851</v>
      </c>
      <c r="C394" s="1" t="s">
        <v>27</v>
      </c>
      <c r="D394" s="2">
        <v>45890</v>
      </c>
      <c r="E394" s="2">
        <v>46001</v>
      </c>
      <c r="F394" s="2">
        <v>45890</v>
      </c>
      <c r="G394" s="2">
        <v>46001</v>
      </c>
      <c r="H394" s="1" t="s">
        <v>20</v>
      </c>
      <c r="I394" s="1">
        <v>100</v>
      </c>
      <c r="J394" s="1">
        <v>39677707</v>
      </c>
      <c r="L394" s="1" t="s">
        <v>856</v>
      </c>
      <c r="M394" s="1" t="s">
        <v>856</v>
      </c>
      <c r="N394" s="1" t="s">
        <v>22</v>
      </c>
      <c r="O394" s="1">
        <v>1</v>
      </c>
      <c r="P394" s="1" t="b">
        <v>1</v>
      </c>
      <c r="Q394" s="1" t="s">
        <v>29</v>
      </c>
      <c r="R394" s="1">
        <f t="shared" si="22"/>
        <v>0</v>
      </c>
      <c r="T394" s="1">
        <f t="shared" si="23"/>
        <v>0</v>
      </c>
      <c r="U394" s="1">
        <f t="shared" si="24"/>
        <v>0</v>
      </c>
    </row>
    <row r="395" spans="1:21" x14ac:dyDescent="0.25">
      <c r="A395" s="1" t="s">
        <v>857</v>
      </c>
      <c r="B395" s="1" t="s">
        <v>851</v>
      </c>
      <c r="C395" s="1" t="s">
        <v>31</v>
      </c>
      <c r="D395" s="2">
        <v>46001</v>
      </c>
      <c r="E395" s="2">
        <v>46140</v>
      </c>
      <c r="F395" s="2">
        <v>46001</v>
      </c>
      <c r="H395" s="1" t="s">
        <v>38</v>
      </c>
      <c r="I395" s="1">
        <v>75</v>
      </c>
      <c r="J395" s="1">
        <v>49597133</v>
      </c>
      <c r="L395" s="1" t="s">
        <v>858</v>
      </c>
      <c r="M395" s="1" t="s">
        <v>858</v>
      </c>
      <c r="N395" s="1" t="s">
        <v>22</v>
      </c>
      <c r="O395" s="1">
        <v>1</v>
      </c>
      <c r="P395" s="1" t="b">
        <v>1</v>
      </c>
      <c r="S395" s="1">
        <f t="shared" ref="S395:S401" si="25">R$7-E395</f>
        <v>154</v>
      </c>
      <c r="T395" s="1">
        <f t="shared" si="23"/>
        <v>1</v>
      </c>
      <c r="U395" s="1">
        <f t="shared" si="24"/>
        <v>154</v>
      </c>
    </row>
    <row r="396" spans="1:21" x14ac:dyDescent="0.25">
      <c r="A396" s="1" t="s">
        <v>859</v>
      </c>
      <c r="B396" s="1" t="s">
        <v>851</v>
      </c>
      <c r="C396" s="1" t="s">
        <v>34</v>
      </c>
      <c r="D396" s="2">
        <v>46140</v>
      </c>
      <c r="E396" s="2">
        <v>46372</v>
      </c>
      <c r="H396" s="1" t="s">
        <v>42</v>
      </c>
      <c r="I396" s="1">
        <v>0</v>
      </c>
      <c r="J396" s="1">
        <v>82661889</v>
      </c>
      <c r="L396" s="1" t="s">
        <v>860</v>
      </c>
      <c r="M396" s="1" t="s">
        <v>860</v>
      </c>
      <c r="N396" s="1" t="s">
        <v>22</v>
      </c>
      <c r="O396" s="1">
        <v>1</v>
      </c>
      <c r="P396" s="1" t="b">
        <v>1</v>
      </c>
      <c r="Q396" s="1" t="s">
        <v>29</v>
      </c>
      <c r="S396" s="1">
        <f t="shared" si="25"/>
        <v>-78</v>
      </c>
      <c r="T396" s="1">
        <f t="shared" si="23"/>
        <v>0</v>
      </c>
      <c r="U396" s="1">
        <f t="shared" si="24"/>
        <v>0</v>
      </c>
    </row>
    <row r="397" spans="1:21" x14ac:dyDescent="0.25">
      <c r="A397" s="1" t="s">
        <v>861</v>
      </c>
      <c r="B397" s="1" t="s">
        <v>851</v>
      </c>
      <c r="C397" s="1" t="s">
        <v>37</v>
      </c>
      <c r="D397" s="2">
        <v>46372</v>
      </c>
      <c r="E397" s="2">
        <v>46465</v>
      </c>
      <c r="H397" s="1" t="s">
        <v>42</v>
      </c>
      <c r="I397" s="1">
        <v>0</v>
      </c>
      <c r="J397" s="1">
        <v>33064755</v>
      </c>
      <c r="L397" s="1" t="s">
        <v>862</v>
      </c>
      <c r="M397" s="1" t="s">
        <v>862</v>
      </c>
      <c r="N397" s="1" t="s">
        <v>22</v>
      </c>
      <c r="O397" s="1">
        <v>1</v>
      </c>
      <c r="P397" s="1" t="b">
        <v>1</v>
      </c>
      <c r="S397" s="1">
        <f t="shared" si="25"/>
        <v>-171</v>
      </c>
      <c r="T397" s="1">
        <f t="shared" si="23"/>
        <v>0</v>
      </c>
      <c r="U397" s="1">
        <f t="shared" si="24"/>
        <v>0</v>
      </c>
    </row>
    <row r="398" spans="1:21" x14ac:dyDescent="0.25">
      <c r="A398" s="1" t="s">
        <v>863</v>
      </c>
      <c r="B398" s="1" t="s">
        <v>851</v>
      </c>
      <c r="C398" s="1" t="s">
        <v>41</v>
      </c>
      <c r="D398" s="2">
        <v>46465</v>
      </c>
      <c r="E398" s="2">
        <v>46539</v>
      </c>
      <c r="H398" s="1" t="s">
        <v>42</v>
      </c>
      <c r="I398" s="1">
        <v>0</v>
      </c>
      <c r="J398" s="1">
        <v>26451804</v>
      </c>
      <c r="L398" s="1" t="s">
        <v>864</v>
      </c>
      <c r="M398" s="1" t="s">
        <v>864</v>
      </c>
      <c r="N398" s="1" t="s">
        <v>22</v>
      </c>
      <c r="O398" s="1">
        <v>1</v>
      </c>
      <c r="P398" s="1" t="b">
        <v>1</v>
      </c>
      <c r="S398" s="1">
        <f t="shared" si="25"/>
        <v>-245</v>
      </c>
      <c r="T398" s="1">
        <f t="shared" si="23"/>
        <v>0</v>
      </c>
      <c r="U398" s="1">
        <f t="shared" si="24"/>
        <v>0</v>
      </c>
    </row>
    <row r="399" spans="1:21" x14ac:dyDescent="0.25">
      <c r="A399" s="1" t="s">
        <v>865</v>
      </c>
      <c r="B399" s="1" t="s">
        <v>851</v>
      </c>
      <c r="C399" s="1" t="s">
        <v>45</v>
      </c>
      <c r="D399" s="2">
        <v>46539</v>
      </c>
      <c r="E399" s="2">
        <v>46632</v>
      </c>
      <c r="H399" s="1" t="s">
        <v>42</v>
      </c>
      <c r="I399" s="1">
        <v>0</v>
      </c>
      <c r="J399" s="1">
        <v>33064755</v>
      </c>
      <c r="L399" s="1" t="s">
        <v>866</v>
      </c>
      <c r="M399" s="1" t="s">
        <v>866</v>
      </c>
      <c r="N399" s="1" t="s">
        <v>22</v>
      </c>
      <c r="O399" s="1">
        <v>1</v>
      </c>
      <c r="P399" s="1" t="b">
        <v>1</v>
      </c>
      <c r="S399" s="1">
        <f t="shared" si="25"/>
        <v>-338</v>
      </c>
      <c r="T399" s="1">
        <f t="shared" si="23"/>
        <v>0</v>
      </c>
      <c r="U399" s="1">
        <f t="shared" si="24"/>
        <v>0</v>
      </c>
    </row>
    <row r="400" spans="1:21" x14ac:dyDescent="0.25">
      <c r="A400" s="1" t="s">
        <v>867</v>
      </c>
      <c r="B400" s="1" t="s">
        <v>851</v>
      </c>
      <c r="C400" s="1" t="s">
        <v>48</v>
      </c>
      <c r="D400" s="2">
        <v>46632</v>
      </c>
      <c r="E400" s="2">
        <v>46659</v>
      </c>
      <c r="H400" s="1" t="s">
        <v>42</v>
      </c>
      <c r="I400" s="1">
        <v>0</v>
      </c>
      <c r="J400" s="1">
        <v>9919426</v>
      </c>
      <c r="L400" s="1" t="s">
        <v>868</v>
      </c>
      <c r="M400" s="1" t="s">
        <v>868</v>
      </c>
      <c r="N400" s="1" t="s">
        <v>22</v>
      </c>
      <c r="O400" s="1">
        <v>1</v>
      </c>
      <c r="P400" s="1" t="b">
        <v>1</v>
      </c>
      <c r="S400" s="1">
        <f t="shared" si="25"/>
        <v>-365</v>
      </c>
      <c r="T400" s="1">
        <f t="shared" si="23"/>
        <v>0</v>
      </c>
      <c r="U400" s="1">
        <f t="shared" si="24"/>
        <v>0</v>
      </c>
    </row>
    <row r="401" spans="1:21" x14ac:dyDescent="0.25">
      <c r="A401" s="1" t="s">
        <v>869</v>
      </c>
      <c r="B401" s="1" t="s">
        <v>851</v>
      </c>
      <c r="C401" s="1" t="s">
        <v>51</v>
      </c>
      <c r="D401" s="2">
        <v>46659</v>
      </c>
      <c r="E401" s="2">
        <v>46677</v>
      </c>
      <c r="H401" s="1" t="s">
        <v>42</v>
      </c>
      <c r="I401" s="1">
        <v>0</v>
      </c>
      <c r="J401" s="1">
        <v>6612951</v>
      </c>
      <c r="L401" s="1" t="s">
        <v>870</v>
      </c>
      <c r="M401" s="1" t="s">
        <v>870</v>
      </c>
      <c r="N401" s="1" t="s">
        <v>22</v>
      </c>
      <c r="O401" s="1">
        <v>1</v>
      </c>
      <c r="P401" s="1" t="b">
        <v>1</v>
      </c>
      <c r="S401" s="1">
        <f t="shared" si="25"/>
        <v>-383</v>
      </c>
      <c r="T401" s="1">
        <f t="shared" si="23"/>
        <v>0</v>
      </c>
      <c r="U401" s="1">
        <f t="shared" si="24"/>
        <v>0</v>
      </c>
    </row>
    <row r="402" spans="1:21" x14ac:dyDescent="0.25">
      <c r="A402" s="1" t="s">
        <v>871</v>
      </c>
      <c r="B402" s="1" t="s">
        <v>872</v>
      </c>
      <c r="C402" s="1" t="s">
        <v>19</v>
      </c>
      <c r="D402" s="2">
        <v>44997</v>
      </c>
      <c r="E402" s="2">
        <v>45028</v>
      </c>
      <c r="F402" s="2">
        <v>44997</v>
      </c>
      <c r="G402" s="2">
        <v>45028</v>
      </c>
      <c r="H402" s="1" t="s">
        <v>20</v>
      </c>
      <c r="I402" s="1">
        <v>100</v>
      </c>
      <c r="J402" s="1">
        <v>8250893</v>
      </c>
      <c r="L402" s="1" t="s">
        <v>873</v>
      </c>
      <c r="M402" s="1" t="s">
        <v>873</v>
      </c>
      <c r="N402" s="1" t="s">
        <v>22</v>
      </c>
      <c r="O402" s="1">
        <v>1</v>
      </c>
      <c r="P402" s="1" t="b">
        <v>1</v>
      </c>
      <c r="R402" s="1">
        <f t="shared" ref="R402:R417" si="26">G402-E402</f>
        <v>0</v>
      </c>
      <c r="T402" s="1">
        <f t="shared" si="23"/>
        <v>0</v>
      </c>
      <c r="U402" s="1">
        <f t="shared" si="24"/>
        <v>0</v>
      </c>
    </row>
    <row r="403" spans="1:21" x14ac:dyDescent="0.25">
      <c r="A403" s="1" t="s">
        <v>874</v>
      </c>
      <c r="B403" s="1" t="s">
        <v>872</v>
      </c>
      <c r="C403" s="1" t="s">
        <v>24</v>
      </c>
      <c r="D403" s="2">
        <v>45028</v>
      </c>
      <c r="E403" s="2">
        <v>45091</v>
      </c>
      <c r="F403" s="2">
        <v>45028</v>
      </c>
      <c r="G403" s="2">
        <v>45091</v>
      </c>
      <c r="H403" s="1" t="s">
        <v>20</v>
      </c>
      <c r="I403" s="1">
        <v>100</v>
      </c>
      <c r="J403" s="1">
        <v>16501786</v>
      </c>
      <c r="L403" s="1" t="s">
        <v>875</v>
      </c>
      <c r="M403" s="1" t="s">
        <v>875</v>
      </c>
      <c r="N403" s="1" t="s">
        <v>22</v>
      </c>
      <c r="O403" s="1">
        <v>1</v>
      </c>
      <c r="P403" s="1" t="b">
        <v>1</v>
      </c>
      <c r="R403" s="1">
        <f t="shared" si="26"/>
        <v>0</v>
      </c>
      <c r="T403" s="1">
        <f t="shared" si="23"/>
        <v>0</v>
      </c>
      <c r="U403" s="1">
        <f t="shared" si="24"/>
        <v>0</v>
      </c>
    </row>
    <row r="404" spans="1:21" x14ac:dyDescent="0.25">
      <c r="A404" s="1" t="s">
        <v>876</v>
      </c>
      <c r="B404" s="1" t="s">
        <v>872</v>
      </c>
      <c r="C404" s="1" t="s">
        <v>27</v>
      </c>
      <c r="D404" s="2">
        <v>45091</v>
      </c>
      <c r="E404" s="2">
        <v>45166</v>
      </c>
      <c r="F404" s="2">
        <v>45091</v>
      </c>
      <c r="G404" s="2">
        <v>45166</v>
      </c>
      <c r="H404" s="1" t="s">
        <v>20</v>
      </c>
      <c r="I404" s="1">
        <v>100</v>
      </c>
      <c r="J404" s="1">
        <v>19802143</v>
      </c>
      <c r="L404" s="1" t="s">
        <v>877</v>
      </c>
      <c r="M404" s="1" t="s">
        <v>877</v>
      </c>
      <c r="N404" s="1" t="s">
        <v>22</v>
      </c>
      <c r="O404" s="1">
        <v>1</v>
      </c>
      <c r="P404" s="1" t="b">
        <v>1</v>
      </c>
      <c r="Q404" s="1" t="s">
        <v>29</v>
      </c>
      <c r="R404" s="1">
        <f t="shared" si="26"/>
        <v>0</v>
      </c>
      <c r="T404" s="1">
        <f t="shared" si="23"/>
        <v>0</v>
      </c>
      <c r="U404" s="1">
        <f t="shared" si="24"/>
        <v>0</v>
      </c>
    </row>
    <row r="405" spans="1:21" x14ac:dyDescent="0.25">
      <c r="A405" s="1" t="s">
        <v>878</v>
      </c>
      <c r="B405" s="1" t="s">
        <v>872</v>
      </c>
      <c r="C405" s="1" t="s">
        <v>31</v>
      </c>
      <c r="D405" s="2">
        <v>45166</v>
      </c>
      <c r="E405" s="2">
        <v>45260</v>
      </c>
      <c r="F405" s="2">
        <v>45166</v>
      </c>
      <c r="G405" s="2">
        <v>45260</v>
      </c>
      <c r="H405" s="1" t="s">
        <v>20</v>
      </c>
      <c r="I405" s="1">
        <v>100</v>
      </c>
      <c r="J405" s="1">
        <v>24752679</v>
      </c>
      <c r="L405" s="1" t="s">
        <v>879</v>
      </c>
      <c r="M405" s="1" t="s">
        <v>879</v>
      </c>
      <c r="N405" s="1" t="s">
        <v>22</v>
      </c>
      <c r="O405" s="1">
        <v>1</v>
      </c>
      <c r="P405" s="1" t="b">
        <v>1</v>
      </c>
      <c r="R405" s="1">
        <f t="shared" si="26"/>
        <v>0</v>
      </c>
      <c r="T405" s="1">
        <f t="shared" si="23"/>
        <v>0</v>
      </c>
      <c r="U405" s="1">
        <f t="shared" si="24"/>
        <v>0</v>
      </c>
    </row>
    <row r="406" spans="1:21" x14ac:dyDescent="0.25">
      <c r="A406" s="1" t="s">
        <v>880</v>
      </c>
      <c r="B406" s="1" t="s">
        <v>872</v>
      </c>
      <c r="C406" s="1" t="s">
        <v>34</v>
      </c>
      <c r="D406" s="2">
        <v>45260</v>
      </c>
      <c r="E406" s="2">
        <v>45417</v>
      </c>
      <c r="F406" s="2">
        <v>45260</v>
      </c>
      <c r="G406" s="2">
        <v>45417</v>
      </c>
      <c r="H406" s="1" t="s">
        <v>20</v>
      </c>
      <c r="I406" s="1">
        <v>100</v>
      </c>
      <c r="J406" s="1">
        <v>41254466</v>
      </c>
      <c r="L406" s="1" t="s">
        <v>881</v>
      </c>
      <c r="M406" s="1" t="s">
        <v>881</v>
      </c>
      <c r="N406" s="1" t="s">
        <v>22</v>
      </c>
      <c r="O406" s="1">
        <v>1</v>
      </c>
      <c r="P406" s="1" t="b">
        <v>1</v>
      </c>
      <c r="Q406" s="1" t="s">
        <v>29</v>
      </c>
      <c r="R406" s="1">
        <f t="shared" si="26"/>
        <v>0</v>
      </c>
      <c r="T406" s="1">
        <f t="shared" si="23"/>
        <v>0</v>
      </c>
      <c r="U406" s="1">
        <f t="shared" si="24"/>
        <v>0</v>
      </c>
    </row>
    <row r="407" spans="1:21" x14ac:dyDescent="0.25">
      <c r="A407" s="1" t="s">
        <v>882</v>
      </c>
      <c r="B407" s="1" t="s">
        <v>872</v>
      </c>
      <c r="C407" s="1" t="s">
        <v>37</v>
      </c>
      <c r="D407" s="2">
        <v>45417</v>
      </c>
      <c r="E407" s="2">
        <v>45480</v>
      </c>
      <c r="F407" s="2">
        <v>45417</v>
      </c>
      <c r="G407" s="2">
        <v>45480</v>
      </c>
      <c r="H407" s="1" t="s">
        <v>20</v>
      </c>
      <c r="I407" s="1">
        <v>100</v>
      </c>
      <c r="J407" s="1">
        <v>16501786</v>
      </c>
      <c r="L407" s="1" t="s">
        <v>883</v>
      </c>
      <c r="M407" s="1" t="s">
        <v>883</v>
      </c>
      <c r="N407" s="1" t="s">
        <v>22</v>
      </c>
      <c r="O407" s="1">
        <v>1</v>
      </c>
      <c r="P407" s="1" t="b">
        <v>1</v>
      </c>
      <c r="R407" s="1">
        <f t="shared" si="26"/>
        <v>0</v>
      </c>
      <c r="T407" s="1">
        <f t="shared" si="23"/>
        <v>0</v>
      </c>
      <c r="U407" s="1">
        <f t="shared" si="24"/>
        <v>0</v>
      </c>
    </row>
    <row r="408" spans="1:21" x14ac:dyDescent="0.25">
      <c r="A408" s="1" t="s">
        <v>884</v>
      </c>
      <c r="B408" s="1" t="s">
        <v>872</v>
      </c>
      <c r="C408" s="1" t="s">
        <v>41</v>
      </c>
      <c r="D408" s="2">
        <v>45480</v>
      </c>
      <c r="E408" s="2">
        <v>45530</v>
      </c>
      <c r="F408" s="2">
        <v>45480</v>
      </c>
      <c r="G408" s="2">
        <v>45530</v>
      </c>
      <c r="H408" s="1" t="s">
        <v>20</v>
      </c>
      <c r="I408" s="1">
        <v>100</v>
      </c>
      <c r="J408" s="1">
        <v>13201429</v>
      </c>
      <c r="L408" s="1" t="s">
        <v>885</v>
      </c>
      <c r="M408" s="1" t="s">
        <v>885</v>
      </c>
      <c r="N408" s="1" t="s">
        <v>22</v>
      </c>
      <c r="O408" s="1">
        <v>1</v>
      </c>
      <c r="P408" s="1" t="b">
        <v>1</v>
      </c>
      <c r="R408" s="1">
        <f t="shared" si="26"/>
        <v>0</v>
      </c>
      <c r="T408" s="1">
        <f t="shared" si="23"/>
        <v>0</v>
      </c>
      <c r="U408" s="1">
        <f t="shared" si="24"/>
        <v>0</v>
      </c>
    </row>
    <row r="409" spans="1:21" x14ac:dyDescent="0.25">
      <c r="A409" s="1" t="s">
        <v>886</v>
      </c>
      <c r="B409" s="1" t="s">
        <v>872</v>
      </c>
      <c r="C409" s="1" t="s">
        <v>45</v>
      </c>
      <c r="D409" s="2">
        <v>45530</v>
      </c>
      <c r="E409" s="2">
        <v>45593</v>
      </c>
      <c r="F409" s="2">
        <v>45530</v>
      </c>
      <c r="G409" s="2">
        <v>45593</v>
      </c>
      <c r="H409" s="1" t="s">
        <v>20</v>
      </c>
      <c r="I409" s="1">
        <v>100</v>
      </c>
      <c r="J409" s="1">
        <v>16501786</v>
      </c>
      <c r="L409" s="1" t="s">
        <v>887</v>
      </c>
      <c r="M409" s="1" t="s">
        <v>887</v>
      </c>
      <c r="N409" s="1" t="s">
        <v>22</v>
      </c>
      <c r="O409" s="1">
        <v>1</v>
      </c>
      <c r="P409" s="1" t="b">
        <v>1</v>
      </c>
      <c r="R409" s="1">
        <f t="shared" si="26"/>
        <v>0</v>
      </c>
      <c r="T409" s="1">
        <f t="shared" si="23"/>
        <v>0</v>
      </c>
      <c r="U409" s="1">
        <f t="shared" si="24"/>
        <v>0</v>
      </c>
    </row>
    <row r="410" spans="1:21" x14ac:dyDescent="0.25">
      <c r="A410" s="1" t="s">
        <v>888</v>
      </c>
      <c r="B410" s="1" t="s">
        <v>872</v>
      </c>
      <c r="C410" s="1" t="s">
        <v>48</v>
      </c>
      <c r="D410" s="2">
        <v>45593</v>
      </c>
      <c r="E410" s="2">
        <v>45611</v>
      </c>
      <c r="F410" s="2">
        <v>45593</v>
      </c>
      <c r="G410" s="2">
        <v>45611</v>
      </c>
      <c r="H410" s="1" t="s">
        <v>20</v>
      </c>
      <c r="I410" s="1">
        <v>100</v>
      </c>
      <c r="J410" s="1">
        <v>4950535</v>
      </c>
      <c r="L410" s="1" t="s">
        <v>889</v>
      </c>
      <c r="M410" s="1" t="s">
        <v>889</v>
      </c>
      <c r="N410" s="1" t="s">
        <v>22</v>
      </c>
      <c r="O410" s="1">
        <v>1</v>
      </c>
      <c r="P410" s="1" t="b">
        <v>1</v>
      </c>
      <c r="R410" s="1">
        <f t="shared" si="26"/>
        <v>0</v>
      </c>
      <c r="T410" s="1">
        <f t="shared" si="23"/>
        <v>0</v>
      </c>
      <c r="U410" s="1">
        <f t="shared" si="24"/>
        <v>0</v>
      </c>
    </row>
    <row r="411" spans="1:21" x14ac:dyDescent="0.25">
      <c r="A411" s="1" t="s">
        <v>890</v>
      </c>
      <c r="B411" s="1" t="s">
        <v>872</v>
      </c>
      <c r="C411" s="1" t="s">
        <v>51</v>
      </c>
      <c r="D411" s="2">
        <v>45611</v>
      </c>
      <c r="E411" s="2">
        <v>45623</v>
      </c>
      <c r="F411" s="2">
        <v>45611</v>
      </c>
      <c r="G411" s="2">
        <v>45623</v>
      </c>
      <c r="H411" s="1" t="s">
        <v>20</v>
      </c>
      <c r="I411" s="1">
        <v>100</v>
      </c>
      <c r="J411" s="1">
        <v>3300357</v>
      </c>
      <c r="L411" s="1" t="s">
        <v>891</v>
      </c>
      <c r="M411" s="1" t="s">
        <v>891</v>
      </c>
      <c r="N411" s="1" t="s">
        <v>22</v>
      </c>
      <c r="O411" s="1">
        <v>1</v>
      </c>
      <c r="P411" s="1" t="b">
        <v>1</v>
      </c>
      <c r="R411" s="1">
        <f t="shared" si="26"/>
        <v>0</v>
      </c>
      <c r="T411" s="1">
        <f t="shared" si="23"/>
        <v>0</v>
      </c>
      <c r="U411" s="1">
        <f t="shared" si="24"/>
        <v>0</v>
      </c>
    </row>
    <row r="412" spans="1:21" x14ac:dyDescent="0.25">
      <c r="A412" s="1" t="s">
        <v>892</v>
      </c>
      <c r="B412" s="1" t="s">
        <v>893</v>
      </c>
      <c r="C412" s="1" t="s">
        <v>19</v>
      </c>
      <c r="D412" s="2">
        <v>44926</v>
      </c>
      <c r="E412" s="2">
        <v>44995</v>
      </c>
      <c r="F412" s="2">
        <v>44926</v>
      </c>
      <c r="G412" s="2">
        <v>44995</v>
      </c>
      <c r="H412" s="1" t="s">
        <v>20</v>
      </c>
      <c r="I412" s="1">
        <v>100</v>
      </c>
      <c r="J412" s="1">
        <v>14947524</v>
      </c>
      <c r="L412" s="1" t="s">
        <v>894</v>
      </c>
      <c r="M412" s="1" t="s">
        <v>894</v>
      </c>
      <c r="N412" s="1" t="s">
        <v>22</v>
      </c>
      <c r="O412" s="1">
        <v>1</v>
      </c>
      <c r="P412" s="1" t="b">
        <v>1</v>
      </c>
      <c r="R412" s="1">
        <f t="shared" si="26"/>
        <v>0</v>
      </c>
      <c r="T412" s="1">
        <f t="shared" si="23"/>
        <v>0</v>
      </c>
      <c r="U412" s="1">
        <f t="shared" si="24"/>
        <v>0</v>
      </c>
    </row>
    <row r="413" spans="1:21" x14ac:dyDescent="0.25">
      <c r="A413" s="1" t="s">
        <v>895</v>
      </c>
      <c r="B413" s="1" t="s">
        <v>893</v>
      </c>
      <c r="C413" s="1" t="s">
        <v>24</v>
      </c>
      <c r="D413" s="2">
        <v>44995</v>
      </c>
      <c r="E413" s="2">
        <v>45133</v>
      </c>
      <c r="F413" s="2">
        <v>44995</v>
      </c>
      <c r="G413" s="2">
        <v>45133</v>
      </c>
      <c r="H413" s="1" t="s">
        <v>20</v>
      </c>
      <c r="I413" s="1">
        <v>100</v>
      </c>
      <c r="J413" s="1">
        <v>29895048</v>
      </c>
      <c r="L413" s="1" t="s">
        <v>896</v>
      </c>
      <c r="M413" s="1" t="s">
        <v>896</v>
      </c>
      <c r="N413" s="1" t="s">
        <v>22</v>
      </c>
      <c r="O413" s="1">
        <v>1</v>
      </c>
      <c r="P413" s="1" t="b">
        <v>1</v>
      </c>
      <c r="R413" s="1">
        <f t="shared" si="26"/>
        <v>0</v>
      </c>
      <c r="T413" s="1">
        <f t="shared" si="23"/>
        <v>0</v>
      </c>
      <c r="U413" s="1">
        <f t="shared" si="24"/>
        <v>0</v>
      </c>
    </row>
    <row r="414" spans="1:21" x14ac:dyDescent="0.25">
      <c r="A414" s="1" t="s">
        <v>897</v>
      </c>
      <c r="B414" s="1" t="s">
        <v>893</v>
      </c>
      <c r="C414" s="1" t="s">
        <v>27</v>
      </c>
      <c r="D414" s="2">
        <v>45133</v>
      </c>
      <c r="E414" s="2">
        <v>45298</v>
      </c>
      <c r="F414" s="2">
        <v>45133</v>
      </c>
      <c r="G414" s="2">
        <v>45298</v>
      </c>
      <c r="H414" s="1" t="s">
        <v>20</v>
      </c>
      <c r="I414" s="1">
        <v>100</v>
      </c>
      <c r="J414" s="1">
        <v>35874058</v>
      </c>
      <c r="L414" s="1" t="s">
        <v>898</v>
      </c>
      <c r="M414" s="1" t="s">
        <v>898</v>
      </c>
      <c r="N414" s="1" t="s">
        <v>22</v>
      </c>
      <c r="O414" s="1">
        <v>1</v>
      </c>
      <c r="P414" s="1" t="b">
        <v>1</v>
      </c>
      <c r="Q414" s="1" t="s">
        <v>29</v>
      </c>
      <c r="R414" s="1">
        <f t="shared" si="26"/>
        <v>0</v>
      </c>
      <c r="T414" s="1">
        <f t="shared" si="23"/>
        <v>0</v>
      </c>
      <c r="U414" s="1">
        <f t="shared" si="24"/>
        <v>0</v>
      </c>
    </row>
    <row r="415" spans="1:21" x14ac:dyDescent="0.25">
      <c r="A415" s="1" t="s">
        <v>899</v>
      </c>
      <c r="B415" s="1" t="s">
        <v>893</v>
      </c>
      <c r="C415" s="1" t="s">
        <v>31</v>
      </c>
      <c r="D415" s="2">
        <v>45298</v>
      </c>
      <c r="E415" s="2">
        <v>45505</v>
      </c>
      <c r="F415" s="2">
        <v>45298</v>
      </c>
      <c r="G415" s="2">
        <v>45505</v>
      </c>
      <c r="H415" s="1" t="s">
        <v>20</v>
      </c>
      <c r="I415" s="1">
        <v>100</v>
      </c>
      <c r="J415" s="1">
        <v>44842572</v>
      </c>
      <c r="L415" s="1" t="s">
        <v>900</v>
      </c>
      <c r="M415" s="1" t="s">
        <v>900</v>
      </c>
      <c r="N415" s="1" t="s">
        <v>22</v>
      </c>
      <c r="O415" s="1">
        <v>1</v>
      </c>
      <c r="P415" s="1" t="b">
        <v>1</v>
      </c>
      <c r="R415" s="1">
        <f t="shared" si="26"/>
        <v>0</v>
      </c>
      <c r="T415" s="1">
        <f t="shared" si="23"/>
        <v>0</v>
      </c>
      <c r="U415" s="1">
        <f t="shared" si="24"/>
        <v>0</v>
      </c>
    </row>
    <row r="416" spans="1:21" x14ac:dyDescent="0.25">
      <c r="A416" s="1" t="s">
        <v>901</v>
      </c>
      <c r="B416" s="1" t="s">
        <v>893</v>
      </c>
      <c r="C416" s="1" t="s">
        <v>34</v>
      </c>
      <c r="D416" s="2">
        <v>45505</v>
      </c>
      <c r="E416" s="2">
        <v>45850</v>
      </c>
      <c r="F416" s="2">
        <v>45505</v>
      </c>
      <c r="G416" s="2">
        <v>45850</v>
      </c>
      <c r="H416" s="1" t="s">
        <v>20</v>
      </c>
      <c r="I416" s="1">
        <v>100</v>
      </c>
      <c r="J416" s="1">
        <v>74737621</v>
      </c>
      <c r="L416" s="1" t="s">
        <v>902</v>
      </c>
      <c r="M416" s="1" t="s">
        <v>902</v>
      </c>
      <c r="N416" s="1" t="s">
        <v>22</v>
      </c>
      <c r="O416" s="1">
        <v>1</v>
      </c>
      <c r="P416" s="1" t="b">
        <v>1</v>
      </c>
      <c r="Q416" s="1" t="s">
        <v>29</v>
      </c>
      <c r="R416" s="1">
        <f t="shared" si="26"/>
        <v>0</v>
      </c>
      <c r="T416" s="1">
        <f t="shared" si="23"/>
        <v>0</v>
      </c>
      <c r="U416" s="1">
        <f t="shared" si="24"/>
        <v>0</v>
      </c>
    </row>
    <row r="417" spans="1:21" x14ac:dyDescent="0.25">
      <c r="A417" s="1" t="s">
        <v>903</v>
      </c>
      <c r="B417" s="1" t="s">
        <v>893</v>
      </c>
      <c r="C417" s="1" t="s">
        <v>37</v>
      </c>
      <c r="D417" s="2">
        <v>45850</v>
      </c>
      <c r="E417" s="2">
        <v>45988</v>
      </c>
      <c r="F417" s="2">
        <v>45850</v>
      </c>
      <c r="G417" s="2">
        <v>45988</v>
      </c>
      <c r="H417" s="1" t="s">
        <v>20</v>
      </c>
      <c r="I417" s="1">
        <v>100</v>
      </c>
      <c r="J417" s="1">
        <v>29895048</v>
      </c>
      <c r="L417" s="1" t="s">
        <v>904</v>
      </c>
      <c r="M417" s="1" t="s">
        <v>904</v>
      </c>
      <c r="N417" s="1" t="s">
        <v>22</v>
      </c>
      <c r="O417" s="1">
        <v>1</v>
      </c>
      <c r="P417" s="1" t="b">
        <v>1</v>
      </c>
      <c r="R417" s="1">
        <f t="shared" si="26"/>
        <v>0</v>
      </c>
      <c r="T417" s="1">
        <f t="shared" si="23"/>
        <v>0</v>
      </c>
      <c r="U417" s="1">
        <f t="shared" si="24"/>
        <v>0</v>
      </c>
    </row>
    <row r="418" spans="1:21" x14ac:dyDescent="0.25">
      <c r="A418" s="1" t="s">
        <v>905</v>
      </c>
      <c r="B418" s="1" t="s">
        <v>893</v>
      </c>
      <c r="C418" s="1" t="s">
        <v>41</v>
      </c>
      <c r="D418" s="2">
        <v>45988</v>
      </c>
      <c r="E418" s="2">
        <v>46098</v>
      </c>
      <c r="F418" s="2">
        <v>45988</v>
      </c>
      <c r="H418" s="1" t="s">
        <v>38</v>
      </c>
      <c r="I418" s="1">
        <v>28</v>
      </c>
      <c r="J418" s="1">
        <v>23916038</v>
      </c>
      <c r="L418" s="1" t="s">
        <v>906</v>
      </c>
      <c r="M418" s="1" t="s">
        <v>906</v>
      </c>
      <c r="N418" s="1" t="s">
        <v>22</v>
      </c>
      <c r="O418" s="1">
        <v>1</v>
      </c>
      <c r="P418" s="1" t="b">
        <v>1</v>
      </c>
      <c r="S418" s="1">
        <f>R$7-E418</f>
        <v>196</v>
      </c>
      <c r="T418" s="1">
        <f t="shared" si="23"/>
        <v>1</v>
      </c>
      <c r="U418" s="1">
        <f t="shared" si="24"/>
        <v>196</v>
      </c>
    </row>
    <row r="419" spans="1:21" x14ac:dyDescent="0.25">
      <c r="A419" s="1" t="s">
        <v>907</v>
      </c>
      <c r="B419" s="1" t="s">
        <v>893</v>
      </c>
      <c r="C419" s="1" t="s">
        <v>45</v>
      </c>
      <c r="D419" s="2">
        <v>46098</v>
      </c>
      <c r="E419" s="2">
        <v>46236</v>
      </c>
      <c r="H419" s="1" t="s">
        <v>42</v>
      </c>
      <c r="I419" s="1">
        <v>0</v>
      </c>
      <c r="J419" s="1">
        <v>29895048</v>
      </c>
      <c r="L419" s="1" t="s">
        <v>908</v>
      </c>
      <c r="M419" s="1" t="s">
        <v>908</v>
      </c>
      <c r="N419" s="1" t="s">
        <v>22</v>
      </c>
      <c r="O419" s="1">
        <v>1</v>
      </c>
      <c r="P419" s="1" t="b">
        <v>1</v>
      </c>
      <c r="S419" s="1">
        <f>R$7-E419</f>
        <v>58</v>
      </c>
      <c r="T419" s="1">
        <f t="shared" si="23"/>
        <v>1</v>
      </c>
      <c r="U419" s="1">
        <f t="shared" si="24"/>
        <v>58</v>
      </c>
    </row>
    <row r="420" spans="1:21" x14ac:dyDescent="0.25">
      <c r="A420" s="1" t="s">
        <v>909</v>
      </c>
      <c r="B420" s="1" t="s">
        <v>893</v>
      </c>
      <c r="C420" s="1" t="s">
        <v>48</v>
      </c>
      <c r="D420" s="2">
        <v>46236</v>
      </c>
      <c r="E420" s="2">
        <v>46277</v>
      </c>
      <c r="H420" s="1" t="s">
        <v>42</v>
      </c>
      <c r="I420" s="1">
        <v>0</v>
      </c>
      <c r="J420" s="1">
        <v>8968514</v>
      </c>
      <c r="L420" s="1" t="s">
        <v>910</v>
      </c>
      <c r="M420" s="1" t="s">
        <v>910</v>
      </c>
      <c r="N420" s="1" t="s">
        <v>22</v>
      </c>
      <c r="O420" s="1">
        <v>1</v>
      </c>
      <c r="P420" s="1" t="b">
        <v>1</v>
      </c>
      <c r="S420" s="1">
        <f>R$7-E420</f>
        <v>17</v>
      </c>
      <c r="T420" s="1">
        <f t="shared" si="23"/>
        <v>1</v>
      </c>
      <c r="U420" s="1">
        <f t="shared" si="24"/>
        <v>17</v>
      </c>
    </row>
    <row r="421" spans="1:21" x14ac:dyDescent="0.25">
      <c r="A421" s="1" t="s">
        <v>911</v>
      </c>
      <c r="B421" s="1" t="s">
        <v>893</v>
      </c>
      <c r="C421" s="1" t="s">
        <v>51</v>
      </c>
      <c r="D421" s="2">
        <v>46277</v>
      </c>
      <c r="E421" s="2">
        <v>46304</v>
      </c>
      <c r="H421" s="1" t="s">
        <v>42</v>
      </c>
      <c r="I421" s="1">
        <v>0</v>
      </c>
      <c r="J421" s="1">
        <v>5979009</v>
      </c>
      <c r="L421" s="1" t="s">
        <v>912</v>
      </c>
      <c r="M421" s="1" t="s">
        <v>912</v>
      </c>
      <c r="N421" s="1" t="s">
        <v>22</v>
      </c>
      <c r="O421" s="1">
        <v>1</v>
      </c>
      <c r="P421" s="1" t="b">
        <v>1</v>
      </c>
      <c r="S421" s="1">
        <f>R$7-E421</f>
        <v>-10</v>
      </c>
      <c r="T421" s="1">
        <f t="shared" si="23"/>
        <v>0</v>
      </c>
      <c r="U421" s="1">
        <f t="shared" si="24"/>
        <v>0</v>
      </c>
    </row>
    <row r="422" spans="1:21" x14ac:dyDescent="0.25">
      <c r="A422" s="1" t="s">
        <v>913</v>
      </c>
      <c r="B422" s="1" t="s">
        <v>914</v>
      </c>
      <c r="C422" s="1" t="s">
        <v>19</v>
      </c>
      <c r="D422" s="2">
        <v>45494</v>
      </c>
      <c r="E422" s="2">
        <v>45536</v>
      </c>
      <c r="F422" s="2">
        <v>45494</v>
      </c>
      <c r="G422" s="2">
        <v>45536</v>
      </c>
      <c r="H422" s="1" t="s">
        <v>20</v>
      </c>
      <c r="I422" s="1">
        <v>100</v>
      </c>
      <c r="J422" s="1">
        <v>5466404</v>
      </c>
      <c r="L422" s="1" t="s">
        <v>915</v>
      </c>
      <c r="M422" s="1" t="s">
        <v>915</v>
      </c>
      <c r="N422" s="1" t="s">
        <v>22</v>
      </c>
      <c r="O422" s="1">
        <v>1</v>
      </c>
      <c r="P422" s="1" t="b">
        <v>1</v>
      </c>
      <c r="R422" s="1">
        <f>G422-E422</f>
        <v>0</v>
      </c>
      <c r="T422" s="1">
        <f t="shared" si="23"/>
        <v>0</v>
      </c>
      <c r="U422" s="1">
        <f t="shared" si="24"/>
        <v>0</v>
      </c>
    </row>
    <row r="423" spans="1:21" x14ac:dyDescent="0.25">
      <c r="A423" s="1" t="s">
        <v>916</v>
      </c>
      <c r="B423" s="1" t="s">
        <v>914</v>
      </c>
      <c r="C423" s="1" t="s">
        <v>24</v>
      </c>
      <c r="D423" s="2">
        <v>45536</v>
      </c>
      <c r="E423" s="2">
        <v>45620</v>
      </c>
      <c r="F423" s="2">
        <v>45536</v>
      </c>
      <c r="G423" s="2">
        <v>45620</v>
      </c>
      <c r="H423" s="1" t="s">
        <v>20</v>
      </c>
      <c r="I423" s="1">
        <v>100</v>
      </c>
      <c r="J423" s="1">
        <v>10932809</v>
      </c>
      <c r="L423" s="1" t="s">
        <v>917</v>
      </c>
      <c r="M423" s="1" t="s">
        <v>917</v>
      </c>
      <c r="N423" s="1" t="s">
        <v>22</v>
      </c>
      <c r="O423" s="1">
        <v>1</v>
      </c>
      <c r="P423" s="1" t="b">
        <v>1</v>
      </c>
      <c r="R423" s="1">
        <f>G423-E423</f>
        <v>0</v>
      </c>
      <c r="T423" s="1">
        <f t="shared" si="23"/>
        <v>0</v>
      </c>
      <c r="U423" s="1">
        <f t="shared" si="24"/>
        <v>0</v>
      </c>
    </row>
    <row r="424" spans="1:21" x14ac:dyDescent="0.25">
      <c r="A424" s="1" t="s">
        <v>918</v>
      </c>
      <c r="B424" s="1" t="s">
        <v>914</v>
      </c>
      <c r="C424" s="1" t="s">
        <v>27</v>
      </c>
      <c r="D424" s="2">
        <v>45620</v>
      </c>
      <c r="E424" s="2">
        <v>45720</v>
      </c>
      <c r="F424" s="2">
        <v>45620</v>
      </c>
      <c r="G424" s="2">
        <v>45720</v>
      </c>
      <c r="H424" s="1" t="s">
        <v>20</v>
      </c>
      <c r="I424" s="1">
        <v>100</v>
      </c>
      <c r="J424" s="1">
        <v>13119371</v>
      </c>
      <c r="L424" s="1" t="s">
        <v>919</v>
      </c>
      <c r="M424" s="1" t="s">
        <v>919</v>
      </c>
      <c r="N424" s="1" t="s">
        <v>22</v>
      </c>
      <c r="O424" s="1">
        <v>1</v>
      </c>
      <c r="P424" s="1" t="b">
        <v>1</v>
      </c>
      <c r="Q424" s="1" t="s">
        <v>29</v>
      </c>
      <c r="R424" s="1">
        <f>G424-E424</f>
        <v>0</v>
      </c>
      <c r="T424" s="1">
        <f t="shared" si="23"/>
        <v>0</v>
      </c>
      <c r="U424" s="1">
        <f t="shared" si="24"/>
        <v>0</v>
      </c>
    </row>
    <row r="425" spans="1:21" x14ac:dyDescent="0.25">
      <c r="A425" s="1" t="s">
        <v>920</v>
      </c>
      <c r="B425" s="1" t="s">
        <v>914</v>
      </c>
      <c r="C425" s="1" t="s">
        <v>31</v>
      </c>
      <c r="D425" s="2">
        <v>45720</v>
      </c>
      <c r="E425" s="2">
        <v>45846</v>
      </c>
      <c r="F425" s="2">
        <v>45720</v>
      </c>
      <c r="G425" s="2">
        <v>45846</v>
      </c>
      <c r="H425" s="1" t="s">
        <v>20</v>
      </c>
      <c r="I425" s="1">
        <v>100</v>
      </c>
      <c r="J425" s="1">
        <v>16399214</v>
      </c>
      <c r="L425" s="1" t="s">
        <v>921</v>
      </c>
      <c r="M425" s="1" t="s">
        <v>921</v>
      </c>
      <c r="N425" s="1" t="s">
        <v>22</v>
      </c>
      <c r="O425" s="1">
        <v>1</v>
      </c>
      <c r="P425" s="1" t="b">
        <v>1</v>
      </c>
      <c r="R425" s="1">
        <f>G425-E425</f>
        <v>0</v>
      </c>
      <c r="T425" s="1">
        <f t="shared" si="23"/>
        <v>0</v>
      </c>
      <c r="U425" s="1">
        <f t="shared" si="24"/>
        <v>0</v>
      </c>
    </row>
    <row r="426" spans="1:21" x14ac:dyDescent="0.25">
      <c r="A426" s="1" t="s">
        <v>922</v>
      </c>
      <c r="B426" s="1" t="s">
        <v>914</v>
      </c>
      <c r="C426" s="1" t="s">
        <v>34</v>
      </c>
      <c r="D426" s="2">
        <v>45846</v>
      </c>
      <c r="E426" s="2">
        <v>46056</v>
      </c>
      <c r="F426" s="2">
        <v>45846</v>
      </c>
      <c r="G426" s="2">
        <v>46056</v>
      </c>
      <c r="H426" s="1" t="s">
        <v>20</v>
      </c>
      <c r="I426" s="1">
        <v>100</v>
      </c>
      <c r="J426" s="1">
        <v>27332023</v>
      </c>
      <c r="L426" s="1" t="s">
        <v>923</v>
      </c>
      <c r="M426" s="1" t="s">
        <v>923</v>
      </c>
      <c r="N426" s="1" t="s">
        <v>22</v>
      </c>
      <c r="O426" s="1">
        <v>1</v>
      </c>
      <c r="P426" s="1" t="b">
        <v>1</v>
      </c>
      <c r="Q426" s="1" t="s">
        <v>29</v>
      </c>
      <c r="R426" s="1">
        <f>G426-E426</f>
        <v>0</v>
      </c>
      <c r="T426" s="1">
        <f t="shared" si="23"/>
        <v>0</v>
      </c>
      <c r="U426" s="1">
        <f t="shared" si="24"/>
        <v>0</v>
      </c>
    </row>
    <row r="427" spans="1:21" x14ac:dyDescent="0.25">
      <c r="A427" s="1" t="s">
        <v>924</v>
      </c>
      <c r="B427" s="1" t="s">
        <v>914</v>
      </c>
      <c r="C427" s="1" t="s">
        <v>37</v>
      </c>
      <c r="D427" s="2">
        <v>46056</v>
      </c>
      <c r="E427" s="2">
        <v>46140</v>
      </c>
      <c r="F427" s="2">
        <v>46056</v>
      </c>
      <c r="H427" s="1" t="s">
        <v>38</v>
      </c>
      <c r="I427" s="1">
        <v>45</v>
      </c>
      <c r="J427" s="1">
        <v>10932809</v>
      </c>
      <c r="L427" s="1" t="s">
        <v>925</v>
      </c>
      <c r="M427" s="1" t="s">
        <v>925</v>
      </c>
      <c r="N427" s="1" t="s">
        <v>22</v>
      </c>
      <c r="O427" s="1">
        <v>1</v>
      </c>
      <c r="P427" s="1" t="b">
        <v>1</v>
      </c>
      <c r="S427" s="1">
        <f>R$7-E427</f>
        <v>154</v>
      </c>
      <c r="T427" s="1">
        <f t="shared" si="23"/>
        <v>1</v>
      </c>
      <c r="U427" s="1">
        <f t="shared" si="24"/>
        <v>154</v>
      </c>
    </row>
    <row r="428" spans="1:21" x14ac:dyDescent="0.25">
      <c r="A428" s="1" t="s">
        <v>926</v>
      </c>
      <c r="B428" s="1" t="s">
        <v>914</v>
      </c>
      <c r="C428" s="1" t="s">
        <v>41</v>
      </c>
      <c r="D428" s="2">
        <v>46140</v>
      </c>
      <c r="E428" s="2">
        <v>46207</v>
      </c>
      <c r="H428" s="1" t="s">
        <v>42</v>
      </c>
      <c r="I428" s="1">
        <v>0</v>
      </c>
      <c r="J428" s="1">
        <v>8746247</v>
      </c>
      <c r="L428" s="1" t="s">
        <v>927</v>
      </c>
      <c r="M428" s="1" t="s">
        <v>927</v>
      </c>
      <c r="N428" s="1" t="s">
        <v>22</v>
      </c>
      <c r="O428" s="1">
        <v>1</v>
      </c>
      <c r="P428" s="1" t="b">
        <v>1</v>
      </c>
      <c r="S428" s="1">
        <f>R$7-E428</f>
        <v>87</v>
      </c>
      <c r="T428" s="1">
        <f t="shared" si="23"/>
        <v>1</v>
      </c>
      <c r="U428" s="1">
        <f t="shared" si="24"/>
        <v>87</v>
      </c>
    </row>
    <row r="429" spans="1:21" x14ac:dyDescent="0.25">
      <c r="A429" s="1" t="s">
        <v>928</v>
      </c>
      <c r="B429" s="1" t="s">
        <v>914</v>
      </c>
      <c r="C429" s="1" t="s">
        <v>45</v>
      </c>
      <c r="D429" s="2">
        <v>46207</v>
      </c>
      <c r="E429" s="2">
        <v>46291</v>
      </c>
      <c r="H429" s="1" t="s">
        <v>42</v>
      </c>
      <c r="I429" s="1">
        <v>0</v>
      </c>
      <c r="J429" s="1">
        <v>10932809</v>
      </c>
      <c r="L429" s="1" t="s">
        <v>929</v>
      </c>
      <c r="M429" s="1" t="s">
        <v>929</v>
      </c>
      <c r="N429" s="1" t="s">
        <v>22</v>
      </c>
      <c r="O429" s="1">
        <v>1</v>
      </c>
      <c r="P429" s="1" t="b">
        <v>1</v>
      </c>
      <c r="S429" s="1">
        <f>R$7-E429</f>
        <v>3</v>
      </c>
      <c r="T429" s="1">
        <f t="shared" si="23"/>
        <v>1</v>
      </c>
      <c r="U429" s="1">
        <f t="shared" si="24"/>
        <v>3</v>
      </c>
    </row>
    <row r="430" spans="1:21" x14ac:dyDescent="0.25">
      <c r="A430" s="1" t="s">
        <v>930</v>
      </c>
      <c r="B430" s="1" t="s">
        <v>914</v>
      </c>
      <c r="C430" s="1" t="s">
        <v>48</v>
      </c>
      <c r="D430" s="2">
        <v>46291</v>
      </c>
      <c r="E430" s="2">
        <v>46316</v>
      </c>
      <c r="H430" s="1" t="s">
        <v>42</v>
      </c>
      <c r="I430" s="1">
        <v>0</v>
      </c>
      <c r="J430" s="1">
        <v>3279842</v>
      </c>
      <c r="L430" s="1" t="s">
        <v>931</v>
      </c>
      <c r="M430" s="1" t="s">
        <v>931</v>
      </c>
      <c r="N430" s="1" t="s">
        <v>22</v>
      </c>
      <c r="O430" s="1">
        <v>1</v>
      </c>
      <c r="P430" s="1" t="b">
        <v>1</v>
      </c>
      <c r="S430" s="1">
        <f>R$7-E430</f>
        <v>-22</v>
      </c>
      <c r="T430" s="1">
        <f t="shared" si="23"/>
        <v>0</v>
      </c>
      <c r="U430" s="1">
        <f t="shared" si="24"/>
        <v>0</v>
      </c>
    </row>
    <row r="431" spans="1:21" x14ac:dyDescent="0.25">
      <c r="A431" s="1" t="s">
        <v>932</v>
      </c>
      <c r="B431" s="1" t="s">
        <v>914</v>
      </c>
      <c r="C431" s="1" t="s">
        <v>51</v>
      </c>
      <c r="D431" s="2">
        <v>46316</v>
      </c>
      <c r="E431" s="2">
        <v>46332</v>
      </c>
      <c r="H431" s="1" t="s">
        <v>42</v>
      </c>
      <c r="I431" s="1">
        <v>0</v>
      </c>
      <c r="J431" s="1">
        <v>2186561</v>
      </c>
      <c r="L431" s="1" t="s">
        <v>933</v>
      </c>
      <c r="M431" s="1" t="s">
        <v>933</v>
      </c>
      <c r="N431" s="1" t="s">
        <v>22</v>
      </c>
      <c r="O431" s="1">
        <v>1</v>
      </c>
      <c r="P431" s="1" t="b">
        <v>1</v>
      </c>
      <c r="S431" s="1">
        <f>R$7-E431</f>
        <v>-38</v>
      </c>
      <c r="T431" s="1">
        <f t="shared" si="23"/>
        <v>0</v>
      </c>
      <c r="U431" s="1">
        <f t="shared" si="24"/>
        <v>0</v>
      </c>
    </row>
    <row r="432" spans="1:21" x14ac:dyDescent="0.25">
      <c r="A432" s="1" t="s">
        <v>934</v>
      </c>
      <c r="B432" s="1" t="s">
        <v>935</v>
      </c>
      <c r="C432" s="1" t="s">
        <v>19</v>
      </c>
      <c r="D432" s="2">
        <v>45449</v>
      </c>
      <c r="E432" s="2">
        <v>45485</v>
      </c>
      <c r="F432" s="2">
        <v>45449</v>
      </c>
      <c r="G432" s="2">
        <v>45485</v>
      </c>
      <c r="H432" s="1" t="s">
        <v>20</v>
      </c>
      <c r="I432" s="1">
        <v>100</v>
      </c>
      <c r="J432" s="1">
        <v>19727388</v>
      </c>
      <c r="L432" s="1" t="s">
        <v>936</v>
      </c>
      <c r="M432" s="1" t="s">
        <v>936</v>
      </c>
      <c r="N432" s="1" t="s">
        <v>22</v>
      </c>
      <c r="O432" s="1">
        <v>1</v>
      </c>
      <c r="P432" s="1" t="b">
        <v>1</v>
      </c>
      <c r="R432" s="1">
        <f t="shared" ref="R432:R438" si="27">G432-E432</f>
        <v>0</v>
      </c>
      <c r="T432" s="1">
        <f t="shared" si="23"/>
        <v>0</v>
      </c>
      <c r="U432" s="1">
        <f t="shared" si="24"/>
        <v>0</v>
      </c>
    </row>
    <row r="433" spans="1:21" x14ac:dyDescent="0.25">
      <c r="A433" s="1" t="s">
        <v>937</v>
      </c>
      <c r="B433" s="1" t="s">
        <v>935</v>
      </c>
      <c r="C433" s="1" t="s">
        <v>24</v>
      </c>
      <c r="D433" s="2">
        <v>45485</v>
      </c>
      <c r="E433" s="2">
        <v>45557</v>
      </c>
      <c r="F433" s="2">
        <v>45485</v>
      </c>
      <c r="G433" s="2">
        <v>45557</v>
      </c>
      <c r="H433" s="1" t="s">
        <v>20</v>
      </c>
      <c r="I433" s="1">
        <v>100</v>
      </c>
      <c r="J433" s="1">
        <v>39454776</v>
      </c>
      <c r="L433" s="1" t="s">
        <v>938</v>
      </c>
      <c r="M433" s="1" t="s">
        <v>938</v>
      </c>
      <c r="N433" s="1" t="s">
        <v>22</v>
      </c>
      <c r="O433" s="1">
        <v>1</v>
      </c>
      <c r="P433" s="1" t="b">
        <v>1</v>
      </c>
      <c r="R433" s="1">
        <f t="shared" si="27"/>
        <v>0</v>
      </c>
      <c r="T433" s="1">
        <f t="shared" si="23"/>
        <v>0</v>
      </c>
      <c r="U433" s="1">
        <f t="shared" si="24"/>
        <v>0</v>
      </c>
    </row>
    <row r="434" spans="1:21" x14ac:dyDescent="0.25">
      <c r="A434" s="1" t="s">
        <v>939</v>
      </c>
      <c r="B434" s="1" t="s">
        <v>935</v>
      </c>
      <c r="C434" s="1" t="s">
        <v>27</v>
      </c>
      <c r="D434" s="2">
        <v>45557</v>
      </c>
      <c r="E434" s="2">
        <v>45643</v>
      </c>
      <c r="F434" s="2">
        <v>45557</v>
      </c>
      <c r="G434" s="2">
        <v>45643</v>
      </c>
      <c r="H434" s="1" t="s">
        <v>20</v>
      </c>
      <c r="I434" s="1">
        <v>100</v>
      </c>
      <c r="J434" s="1">
        <v>47345731</v>
      </c>
      <c r="L434" s="1" t="s">
        <v>940</v>
      </c>
      <c r="M434" s="1" t="s">
        <v>940</v>
      </c>
      <c r="N434" s="1" t="s">
        <v>22</v>
      </c>
      <c r="O434" s="1">
        <v>1</v>
      </c>
      <c r="P434" s="1" t="b">
        <v>1</v>
      </c>
      <c r="Q434" s="1" t="s">
        <v>29</v>
      </c>
      <c r="R434" s="1">
        <f t="shared" si="27"/>
        <v>0</v>
      </c>
      <c r="T434" s="1">
        <f t="shared" si="23"/>
        <v>0</v>
      </c>
      <c r="U434" s="1">
        <f t="shared" si="24"/>
        <v>0</v>
      </c>
    </row>
    <row r="435" spans="1:21" x14ac:dyDescent="0.25">
      <c r="A435" s="1" t="s">
        <v>941</v>
      </c>
      <c r="B435" s="1" t="s">
        <v>935</v>
      </c>
      <c r="C435" s="1" t="s">
        <v>31</v>
      </c>
      <c r="D435" s="2">
        <v>45643</v>
      </c>
      <c r="E435" s="2">
        <v>45751</v>
      </c>
      <c r="F435" s="2">
        <v>45643</v>
      </c>
      <c r="G435" s="2">
        <v>45751</v>
      </c>
      <c r="H435" s="1" t="s">
        <v>20</v>
      </c>
      <c r="I435" s="1">
        <v>100</v>
      </c>
      <c r="J435" s="1">
        <v>59182164</v>
      </c>
      <c r="L435" s="1" t="s">
        <v>942</v>
      </c>
      <c r="M435" s="1" t="s">
        <v>942</v>
      </c>
      <c r="N435" s="1" t="s">
        <v>22</v>
      </c>
      <c r="O435" s="1">
        <v>1</v>
      </c>
      <c r="P435" s="1" t="b">
        <v>1</v>
      </c>
      <c r="R435" s="1">
        <f t="shared" si="27"/>
        <v>0</v>
      </c>
      <c r="T435" s="1">
        <f t="shared" si="23"/>
        <v>0</v>
      </c>
      <c r="U435" s="1">
        <f t="shared" si="24"/>
        <v>0</v>
      </c>
    </row>
    <row r="436" spans="1:21" x14ac:dyDescent="0.25">
      <c r="A436" s="1" t="s">
        <v>943</v>
      </c>
      <c r="B436" s="1" t="s">
        <v>935</v>
      </c>
      <c r="C436" s="1" t="s">
        <v>34</v>
      </c>
      <c r="D436" s="2">
        <v>45751</v>
      </c>
      <c r="E436" s="2">
        <v>45931</v>
      </c>
      <c r="F436" s="2">
        <v>45751</v>
      </c>
      <c r="G436" s="2">
        <v>45931</v>
      </c>
      <c r="H436" s="1" t="s">
        <v>20</v>
      </c>
      <c r="I436" s="1">
        <v>100</v>
      </c>
      <c r="J436" s="1">
        <v>98636941</v>
      </c>
      <c r="L436" s="1" t="s">
        <v>944</v>
      </c>
      <c r="M436" s="1" t="s">
        <v>944</v>
      </c>
      <c r="N436" s="1" t="s">
        <v>22</v>
      </c>
      <c r="O436" s="1">
        <v>1</v>
      </c>
      <c r="P436" s="1" t="b">
        <v>1</v>
      </c>
      <c r="Q436" s="1" t="s">
        <v>29</v>
      </c>
      <c r="R436" s="1">
        <f t="shared" si="27"/>
        <v>0</v>
      </c>
      <c r="T436" s="1">
        <f t="shared" si="23"/>
        <v>0</v>
      </c>
      <c r="U436" s="1">
        <f t="shared" si="24"/>
        <v>0</v>
      </c>
    </row>
    <row r="437" spans="1:21" x14ac:dyDescent="0.25">
      <c r="A437" s="1" t="s">
        <v>945</v>
      </c>
      <c r="B437" s="1" t="s">
        <v>935</v>
      </c>
      <c r="C437" s="1" t="s">
        <v>37</v>
      </c>
      <c r="D437" s="2">
        <v>45931</v>
      </c>
      <c r="E437" s="2">
        <v>46003</v>
      </c>
      <c r="F437" s="2">
        <v>45931</v>
      </c>
      <c r="G437" s="2">
        <v>46003</v>
      </c>
      <c r="H437" s="1" t="s">
        <v>20</v>
      </c>
      <c r="I437" s="1">
        <v>100</v>
      </c>
      <c r="J437" s="1">
        <v>39454776</v>
      </c>
      <c r="L437" s="1" t="s">
        <v>946</v>
      </c>
      <c r="M437" s="1" t="s">
        <v>946</v>
      </c>
      <c r="N437" s="1" t="s">
        <v>22</v>
      </c>
      <c r="O437" s="1">
        <v>1</v>
      </c>
      <c r="P437" s="1" t="b">
        <v>1</v>
      </c>
      <c r="R437" s="1">
        <f t="shared" si="27"/>
        <v>0</v>
      </c>
      <c r="T437" s="1">
        <f t="shared" si="23"/>
        <v>0</v>
      </c>
      <c r="U437" s="1">
        <f t="shared" si="24"/>
        <v>0</v>
      </c>
    </row>
    <row r="438" spans="1:21" x14ac:dyDescent="0.25">
      <c r="A438" s="1" t="s">
        <v>947</v>
      </c>
      <c r="B438" s="1" t="s">
        <v>935</v>
      </c>
      <c r="C438" s="1" t="s">
        <v>41</v>
      </c>
      <c r="D438" s="2">
        <v>46003</v>
      </c>
      <c r="E438" s="2">
        <v>46060</v>
      </c>
      <c r="F438" s="2">
        <v>46003</v>
      </c>
      <c r="G438" s="2">
        <v>46060</v>
      </c>
      <c r="H438" s="1" t="s">
        <v>20</v>
      </c>
      <c r="I438" s="1">
        <v>100</v>
      </c>
      <c r="J438" s="1">
        <v>31563821</v>
      </c>
      <c r="L438" s="1" t="s">
        <v>948</v>
      </c>
      <c r="M438" s="1" t="s">
        <v>948</v>
      </c>
      <c r="N438" s="1" t="s">
        <v>22</v>
      </c>
      <c r="O438" s="1">
        <v>1</v>
      </c>
      <c r="P438" s="1" t="b">
        <v>1</v>
      </c>
      <c r="R438" s="1">
        <f t="shared" si="27"/>
        <v>0</v>
      </c>
      <c r="T438" s="1">
        <f t="shared" si="23"/>
        <v>0</v>
      </c>
      <c r="U438" s="1">
        <f t="shared" si="24"/>
        <v>0</v>
      </c>
    </row>
    <row r="439" spans="1:21" x14ac:dyDescent="0.25">
      <c r="A439" s="1" t="s">
        <v>949</v>
      </c>
      <c r="B439" s="1" t="s">
        <v>935</v>
      </c>
      <c r="C439" s="1" t="s">
        <v>45</v>
      </c>
      <c r="D439" s="2">
        <v>46060</v>
      </c>
      <c r="E439" s="2">
        <v>46132</v>
      </c>
      <c r="F439" s="2">
        <v>46060</v>
      </c>
      <c r="H439" s="1" t="s">
        <v>38</v>
      </c>
      <c r="I439" s="1">
        <v>60</v>
      </c>
      <c r="J439" s="1">
        <v>39454776</v>
      </c>
      <c r="L439" s="1" t="s">
        <v>950</v>
      </c>
      <c r="M439" s="1" t="s">
        <v>950</v>
      </c>
      <c r="N439" s="1" t="s">
        <v>22</v>
      </c>
      <c r="O439" s="1">
        <v>1</v>
      </c>
      <c r="P439" s="1" t="b">
        <v>1</v>
      </c>
      <c r="S439" s="1">
        <f>R$7-E439</f>
        <v>162</v>
      </c>
      <c r="T439" s="1">
        <f t="shared" si="23"/>
        <v>1</v>
      </c>
      <c r="U439" s="1">
        <f t="shared" si="24"/>
        <v>162</v>
      </c>
    </row>
    <row r="440" spans="1:21" x14ac:dyDescent="0.25">
      <c r="A440" s="1" t="s">
        <v>951</v>
      </c>
      <c r="B440" s="1" t="s">
        <v>935</v>
      </c>
      <c r="C440" s="1" t="s">
        <v>48</v>
      </c>
      <c r="D440" s="2">
        <v>46132</v>
      </c>
      <c r="E440" s="2">
        <v>46153</v>
      </c>
      <c r="H440" s="1" t="s">
        <v>42</v>
      </c>
      <c r="I440" s="1">
        <v>0</v>
      </c>
      <c r="J440" s="1">
        <v>11836432</v>
      </c>
      <c r="L440" s="1" t="s">
        <v>952</v>
      </c>
      <c r="M440" s="1" t="s">
        <v>952</v>
      </c>
      <c r="N440" s="1" t="s">
        <v>22</v>
      </c>
      <c r="O440" s="1">
        <v>1</v>
      </c>
      <c r="P440" s="1" t="b">
        <v>1</v>
      </c>
      <c r="S440" s="1">
        <f>R$7-E440</f>
        <v>141</v>
      </c>
      <c r="T440" s="1">
        <f t="shared" si="23"/>
        <v>1</v>
      </c>
      <c r="U440" s="1">
        <f t="shared" si="24"/>
        <v>141</v>
      </c>
    </row>
    <row r="441" spans="1:21" x14ac:dyDescent="0.25">
      <c r="A441" s="1" t="s">
        <v>953</v>
      </c>
      <c r="B441" s="1" t="s">
        <v>935</v>
      </c>
      <c r="C441" s="1" t="s">
        <v>51</v>
      </c>
      <c r="D441" s="2">
        <v>46153</v>
      </c>
      <c r="E441" s="2">
        <v>46167</v>
      </c>
      <c r="H441" s="1" t="s">
        <v>42</v>
      </c>
      <c r="I441" s="1">
        <v>0</v>
      </c>
      <c r="J441" s="1">
        <v>7890955</v>
      </c>
      <c r="L441" s="1" t="s">
        <v>954</v>
      </c>
      <c r="M441" s="1" t="s">
        <v>954</v>
      </c>
      <c r="N441" s="1" t="s">
        <v>22</v>
      </c>
      <c r="O441" s="1">
        <v>1</v>
      </c>
      <c r="P441" s="1" t="b">
        <v>1</v>
      </c>
      <c r="S441" s="1">
        <f>R$7-E441</f>
        <v>127</v>
      </c>
      <c r="T441" s="1">
        <f t="shared" si="23"/>
        <v>1</v>
      </c>
      <c r="U441" s="1">
        <f t="shared" si="24"/>
        <v>127</v>
      </c>
    </row>
    <row r="442" spans="1:21" x14ac:dyDescent="0.25">
      <c r="A442" s="1" t="s">
        <v>955</v>
      </c>
      <c r="B442" s="1" t="s">
        <v>956</v>
      </c>
      <c r="C442" s="1" t="s">
        <v>19</v>
      </c>
      <c r="D442" s="2">
        <v>44659</v>
      </c>
      <c r="E442" s="2">
        <v>44705</v>
      </c>
      <c r="F442" s="2">
        <v>44659</v>
      </c>
      <c r="G442" s="2">
        <v>44705</v>
      </c>
      <c r="H442" s="1" t="s">
        <v>20</v>
      </c>
      <c r="I442" s="1">
        <v>100</v>
      </c>
      <c r="J442" s="1">
        <v>18864874</v>
      </c>
      <c r="L442" s="1" t="s">
        <v>957</v>
      </c>
      <c r="M442" s="1" t="s">
        <v>957</v>
      </c>
      <c r="N442" s="1" t="s">
        <v>22</v>
      </c>
      <c r="O442" s="1">
        <v>1</v>
      </c>
      <c r="P442" s="1" t="b">
        <v>1</v>
      </c>
      <c r="R442" s="1">
        <f t="shared" ref="R442:R468" si="28">G442-E442</f>
        <v>0</v>
      </c>
      <c r="T442" s="1">
        <f t="shared" si="23"/>
        <v>0</v>
      </c>
      <c r="U442" s="1">
        <f t="shared" si="24"/>
        <v>0</v>
      </c>
    </row>
    <row r="443" spans="1:21" x14ac:dyDescent="0.25">
      <c r="A443" s="1" t="s">
        <v>958</v>
      </c>
      <c r="B443" s="1" t="s">
        <v>956</v>
      </c>
      <c r="C443" s="1" t="s">
        <v>24</v>
      </c>
      <c r="D443" s="2">
        <v>44705</v>
      </c>
      <c r="E443" s="2">
        <v>44798</v>
      </c>
      <c r="F443" s="2">
        <v>44705</v>
      </c>
      <c r="G443" s="2">
        <v>44798</v>
      </c>
      <c r="H443" s="1" t="s">
        <v>20</v>
      </c>
      <c r="I443" s="1">
        <v>100</v>
      </c>
      <c r="J443" s="1">
        <v>37729749</v>
      </c>
      <c r="L443" s="1" t="s">
        <v>959</v>
      </c>
      <c r="M443" s="1" t="s">
        <v>959</v>
      </c>
      <c r="N443" s="1" t="s">
        <v>22</v>
      </c>
      <c r="O443" s="1">
        <v>1</v>
      </c>
      <c r="P443" s="1" t="b">
        <v>1</v>
      </c>
      <c r="R443" s="1">
        <f t="shared" si="28"/>
        <v>0</v>
      </c>
      <c r="T443" s="1">
        <f t="shared" si="23"/>
        <v>0</v>
      </c>
      <c r="U443" s="1">
        <f t="shared" si="24"/>
        <v>0</v>
      </c>
    </row>
    <row r="444" spans="1:21" x14ac:dyDescent="0.25">
      <c r="A444" s="1" t="s">
        <v>960</v>
      </c>
      <c r="B444" s="1" t="s">
        <v>956</v>
      </c>
      <c r="C444" s="1" t="s">
        <v>27</v>
      </c>
      <c r="D444" s="2">
        <v>44798</v>
      </c>
      <c r="E444" s="2">
        <v>44909</v>
      </c>
      <c r="F444" s="2">
        <v>44798</v>
      </c>
      <c r="G444" s="2">
        <v>44909</v>
      </c>
      <c r="H444" s="1" t="s">
        <v>20</v>
      </c>
      <c r="I444" s="1">
        <v>100</v>
      </c>
      <c r="J444" s="1">
        <v>45275699</v>
      </c>
      <c r="L444" s="1" t="s">
        <v>961</v>
      </c>
      <c r="M444" s="1" t="s">
        <v>961</v>
      </c>
      <c r="N444" s="1" t="s">
        <v>22</v>
      </c>
      <c r="O444" s="1">
        <v>1</v>
      </c>
      <c r="P444" s="1" t="b">
        <v>1</v>
      </c>
      <c r="Q444" s="1" t="s">
        <v>29</v>
      </c>
      <c r="R444" s="1">
        <f t="shared" si="28"/>
        <v>0</v>
      </c>
      <c r="T444" s="1">
        <f t="shared" si="23"/>
        <v>0</v>
      </c>
      <c r="U444" s="1">
        <f t="shared" si="24"/>
        <v>0</v>
      </c>
    </row>
    <row r="445" spans="1:21" x14ac:dyDescent="0.25">
      <c r="A445" s="1" t="s">
        <v>962</v>
      </c>
      <c r="B445" s="1" t="s">
        <v>956</v>
      </c>
      <c r="C445" s="1" t="s">
        <v>31</v>
      </c>
      <c r="D445" s="2">
        <v>44909</v>
      </c>
      <c r="E445" s="2">
        <v>45048</v>
      </c>
      <c r="F445" s="2">
        <v>44909</v>
      </c>
      <c r="G445" s="2">
        <v>45048</v>
      </c>
      <c r="H445" s="1" t="s">
        <v>20</v>
      </c>
      <c r="I445" s="1">
        <v>100</v>
      </c>
      <c r="J445" s="1">
        <v>56594624</v>
      </c>
      <c r="L445" s="1" t="s">
        <v>963</v>
      </c>
      <c r="M445" s="1" t="s">
        <v>963</v>
      </c>
      <c r="N445" s="1" t="s">
        <v>22</v>
      </c>
      <c r="O445" s="1">
        <v>1</v>
      </c>
      <c r="P445" s="1" t="b">
        <v>1</v>
      </c>
      <c r="R445" s="1">
        <f t="shared" si="28"/>
        <v>0</v>
      </c>
      <c r="T445" s="1">
        <f t="shared" si="23"/>
        <v>0</v>
      </c>
      <c r="U445" s="1">
        <f t="shared" si="24"/>
        <v>0</v>
      </c>
    </row>
    <row r="446" spans="1:21" x14ac:dyDescent="0.25">
      <c r="A446" s="1" t="s">
        <v>964</v>
      </c>
      <c r="B446" s="1" t="s">
        <v>956</v>
      </c>
      <c r="C446" s="1" t="s">
        <v>34</v>
      </c>
      <c r="D446" s="2">
        <v>45048</v>
      </c>
      <c r="E446" s="2">
        <v>45280</v>
      </c>
      <c r="F446" s="2">
        <v>45048</v>
      </c>
      <c r="G446" s="2">
        <v>45280</v>
      </c>
      <c r="H446" s="1" t="s">
        <v>20</v>
      </c>
      <c r="I446" s="1">
        <v>100</v>
      </c>
      <c r="J446" s="1">
        <v>94324374</v>
      </c>
      <c r="L446" s="1" t="s">
        <v>965</v>
      </c>
      <c r="M446" s="1" t="s">
        <v>965</v>
      </c>
      <c r="N446" s="1" t="s">
        <v>22</v>
      </c>
      <c r="O446" s="1">
        <v>1</v>
      </c>
      <c r="P446" s="1" t="b">
        <v>1</v>
      </c>
      <c r="Q446" s="1" t="s">
        <v>29</v>
      </c>
      <c r="R446" s="1">
        <f t="shared" si="28"/>
        <v>0</v>
      </c>
      <c r="T446" s="1">
        <f t="shared" si="23"/>
        <v>0</v>
      </c>
      <c r="U446" s="1">
        <f t="shared" si="24"/>
        <v>0</v>
      </c>
    </row>
    <row r="447" spans="1:21" x14ac:dyDescent="0.25">
      <c r="A447" s="1" t="s">
        <v>966</v>
      </c>
      <c r="B447" s="1" t="s">
        <v>956</v>
      </c>
      <c r="C447" s="1" t="s">
        <v>37</v>
      </c>
      <c r="D447" s="2">
        <v>45280</v>
      </c>
      <c r="E447" s="2">
        <v>45373</v>
      </c>
      <c r="F447" s="2">
        <v>45280</v>
      </c>
      <c r="G447" s="2">
        <v>45373</v>
      </c>
      <c r="H447" s="1" t="s">
        <v>20</v>
      </c>
      <c r="I447" s="1">
        <v>100</v>
      </c>
      <c r="J447" s="1">
        <v>37729749</v>
      </c>
      <c r="L447" s="1" t="s">
        <v>967</v>
      </c>
      <c r="M447" s="1" t="s">
        <v>967</v>
      </c>
      <c r="N447" s="1" t="s">
        <v>22</v>
      </c>
      <c r="O447" s="1">
        <v>1</v>
      </c>
      <c r="P447" s="1" t="b">
        <v>1</v>
      </c>
      <c r="R447" s="1">
        <f t="shared" si="28"/>
        <v>0</v>
      </c>
      <c r="T447" s="1">
        <f t="shared" si="23"/>
        <v>0</v>
      </c>
      <c r="U447" s="1">
        <f t="shared" si="24"/>
        <v>0</v>
      </c>
    </row>
    <row r="448" spans="1:21" x14ac:dyDescent="0.25">
      <c r="A448" s="1" t="s">
        <v>968</v>
      </c>
      <c r="B448" s="1" t="s">
        <v>956</v>
      </c>
      <c r="C448" s="1" t="s">
        <v>41</v>
      </c>
      <c r="D448" s="2">
        <v>45373</v>
      </c>
      <c r="E448" s="2">
        <v>45447</v>
      </c>
      <c r="F448" s="2">
        <v>45373</v>
      </c>
      <c r="G448" s="2">
        <v>45447</v>
      </c>
      <c r="H448" s="1" t="s">
        <v>20</v>
      </c>
      <c r="I448" s="1">
        <v>100</v>
      </c>
      <c r="J448" s="1">
        <v>30183799</v>
      </c>
      <c r="L448" s="1" t="s">
        <v>969</v>
      </c>
      <c r="M448" s="1" t="s">
        <v>969</v>
      </c>
      <c r="N448" s="1" t="s">
        <v>22</v>
      </c>
      <c r="O448" s="1">
        <v>1</v>
      </c>
      <c r="P448" s="1" t="b">
        <v>1</v>
      </c>
      <c r="R448" s="1">
        <f t="shared" si="28"/>
        <v>0</v>
      </c>
      <c r="T448" s="1">
        <f t="shared" si="23"/>
        <v>0</v>
      </c>
      <c r="U448" s="1">
        <f t="shared" si="24"/>
        <v>0</v>
      </c>
    </row>
    <row r="449" spans="1:21" x14ac:dyDescent="0.25">
      <c r="A449" s="1" t="s">
        <v>970</v>
      </c>
      <c r="B449" s="1" t="s">
        <v>956</v>
      </c>
      <c r="C449" s="1" t="s">
        <v>45</v>
      </c>
      <c r="D449" s="2">
        <v>45447</v>
      </c>
      <c r="E449" s="2">
        <v>45540</v>
      </c>
      <c r="F449" s="2">
        <v>45447</v>
      </c>
      <c r="G449" s="2">
        <v>45540</v>
      </c>
      <c r="H449" s="1" t="s">
        <v>20</v>
      </c>
      <c r="I449" s="1">
        <v>100</v>
      </c>
      <c r="J449" s="1">
        <v>37729749</v>
      </c>
      <c r="L449" s="1" t="s">
        <v>971</v>
      </c>
      <c r="M449" s="1" t="s">
        <v>971</v>
      </c>
      <c r="N449" s="1" t="s">
        <v>22</v>
      </c>
      <c r="O449" s="1">
        <v>1</v>
      </c>
      <c r="P449" s="1" t="b">
        <v>1</v>
      </c>
      <c r="R449" s="1">
        <f t="shared" si="28"/>
        <v>0</v>
      </c>
      <c r="T449" s="1">
        <f t="shared" si="23"/>
        <v>0</v>
      </c>
      <c r="U449" s="1">
        <f t="shared" si="24"/>
        <v>0</v>
      </c>
    </row>
    <row r="450" spans="1:21" x14ac:dyDescent="0.25">
      <c r="A450" s="1" t="s">
        <v>972</v>
      </c>
      <c r="B450" s="1" t="s">
        <v>956</v>
      </c>
      <c r="C450" s="1" t="s">
        <v>48</v>
      </c>
      <c r="D450" s="2">
        <v>45540</v>
      </c>
      <c r="E450" s="2">
        <v>45567</v>
      </c>
      <c r="F450" s="2">
        <v>45540</v>
      </c>
      <c r="G450" s="2">
        <v>45567</v>
      </c>
      <c r="H450" s="1" t="s">
        <v>20</v>
      </c>
      <c r="I450" s="1">
        <v>100</v>
      </c>
      <c r="J450" s="1">
        <v>11318924</v>
      </c>
      <c r="L450" s="1" t="s">
        <v>973</v>
      </c>
      <c r="M450" s="1" t="s">
        <v>973</v>
      </c>
      <c r="N450" s="1" t="s">
        <v>22</v>
      </c>
      <c r="O450" s="1">
        <v>1</v>
      </c>
      <c r="P450" s="1" t="b">
        <v>1</v>
      </c>
      <c r="R450" s="1">
        <f t="shared" si="28"/>
        <v>0</v>
      </c>
      <c r="T450" s="1">
        <f t="shared" si="23"/>
        <v>0</v>
      </c>
      <c r="U450" s="1">
        <f t="shared" si="24"/>
        <v>0</v>
      </c>
    </row>
    <row r="451" spans="1:21" x14ac:dyDescent="0.25">
      <c r="A451" s="1" t="s">
        <v>974</v>
      </c>
      <c r="B451" s="1" t="s">
        <v>956</v>
      </c>
      <c r="C451" s="1" t="s">
        <v>51</v>
      </c>
      <c r="D451" s="2">
        <v>45567</v>
      </c>
      <c r="E451" s="2">
        <v>45585</v>
      </c>
      <c r="F451" s="2">
        <v>45567</v>
      </c>
      <c r="G451" s="2">
        <v>45585</v>
      </c>
      <c r="H451" s="1" t="s">
        <v>20</v>
      </c>
      <c r="I451" s="1">
        <v>100</v>
      </c>
      <c r="J451" s="1">
        <v>7545949</v>
      </c>
      <c r="L451" s="1" t="s">
        <v>975</v>
      </c>
      <c r="M451" s="1" t="s">
        <v>975</v>
      </c>
      <c r="N451" s="1" t="s">
        <v>22</v>
      </c>
      <c r="O451" s="1">
        <v>1</v>
      </c>
      <c r="P451" s="1" t="b">
        <v>1</v>
      </c>
      <c r="R451" s="1">
        <f t="shared" si="28"/>
        <v>0</v>
      </c>
      <c r="T451" s="1">
        <f t="shared" ref="T451:T514" si="29">IF(S451&gt;0,1,0)</f>
        <v>0</v>
      </c>
      <c r="U451" s="1">
        <f t="shared" ref="U451:U514" si="30">IF(S451&gt;0,S451,0)</f>
        <v>0</v>
      </c>
    </row>
    <row r="452" spans="1:21" x14ac:dyDescent="0.25">
      <c r="A452" s="1" t="s">
        <v>976</v>
      </c>
      <c r="B452" s="1" t="s">
        <v>977</v>
      </c>
      <c r="C452" s="1" t="s">
        <v>19</v>
      </c>
      <c r="D452" s="2">
        <v>44890</v>
      </c>
      <c r="E452" s="2">
        <v>44942</v>
      </c>
      <c r="F452" s="2">
        <v>44890</v>
      </c>
      <c r="G452" s="2">
        <v>44942</v>
      </c>
      <c r="H452" s="1" t="s">
        <v>20</v>
      </c>
      <c r="I452" s="1">
        <v>100</v>
      </c>
      <c r="J452" s="1">
        <v>3855244</v>
      </c>
      <c r="L452" s="1" t="s">
        <v>978</v>
      </c>
      <c r="M452" s="1" t="s">
        <v>978</v>
      </c>
      <c r="N452" s="1" t="s">
        <v>22</v>
      </c>
      <c r="O452" s="1">
        <v>1</v>
      </c>
      <c r="P452" s="1" t="b">
        <v>1</v>
      </c>
      <c r="R452" s="1">
        <f t="shared" si="28"/>
        <v>0</v>
      </c>
      <c r="T452" s="1">
        <f t="shared" si="29"/>
        <v>0</v>
      </c>
      <c r="U452" s="1">
        <f t="shared" si="30"/>
        <v>0</v>
      </c>
    </row>
    <row r="453" spans="1:21" x14ac:dyDescent="0.25">
      <c r="A453" s="1" t="s">
        <v>979</v>
      </c>
      <c r="B453" s="1" t="s">
        <v>977</v>
      </c>
      <c r="C453" s="1" t="s">
        <v>24</v>
      </c>
      <c r="D453" s="2">
        <v>44942</v>
      </c>
      <c r="E453" s="2">
        <v>45047</v>
      </c>
      <c r="F453" s="2">
        <v>44942</v>
      </c>
      <c r="G453" s="2">
        <v>45047</v>
      </c>
      <c r="H453" s="1" t="s">
        <v>20</v>
      </c>
      <c r="I453" s="1">
        <v>100</v>
      </c>
      <c r="J453" s="1">
        <v>7710489</v>
      </c>
      <c r="L453" s="1" t="s">
        <v>980</v>
      </c>
      <c r="M453" s="1" t="s">
        <v>980</v>
      </c>
      <c r="N453" s="1" t="s">
        <v>22</v>
      </c>
      <c r="O453" s="1">
        <v>1</v>
      </c>
      <c r="P453" s="1" t="b">
        <v>1</v>
      </c>
      <c r="R453" s="1">
        <f t="shared" si="28"/>
        <v>0</v>
      </c>
      <c r="T453" s="1">
        <f t="shared" si="29"/>
        <v>0</v>
      </c>
      <c r="U453" s="1">
        <f t="shared" si="30"/>
        <v>0</v>
      </c>
    </row>
    <row r="454" spans="1:21" x14ac:dyDescent="0.25">
      <c r="A454" s="1" t="s">
        <v>981</v>
      </c>
      <c r="B454" s="1" t="s">
        <v>977</v>
      </c>
      <c r="C454" s="1" t="s">
        <v>27</v>
      </c>
      <c r="D454" s="2">
        <v>45047</v>
      </c>
      <c r="E454" s="2">
        <v>45173</v>
      </c>
      <c r="F454" s="2">
        <v>45047</v>
      </c>
      <c r="G454" s="2">
        <v>45173</v>
      </c>
      <c r="H454" s="1" t="s">
        <v>20</v>
      </c>
      <c r="I454" s="1">
        <v>100</v>
      </c>
      <c r="J454" s="1">
        <v>9252587</v>
      </c>
      <c r="L454" s="1" t="s">
        <v>982</v>
      </c>
      <c r="M454" s="1" t="s">
        <v>982</v>
      </c>
      <c r="N454" s="1" t="s">
        <v>22</v>
      </c>
      <c r="O454" s="1">
        <v>1</v>
      </c>
      <c r="P454" s="1" t="b">
        <v>1</v>
      </c>
      <c r="Q454" s="1" t="s">
        <v>29</v>
      </c>
      <c r="R454" s="1">
        <f t="shared" si="28"/>
        <v>0</v>
      </c>
      <c r="T454" s="1">
        <f t="shared" si="29"/>
        <v>0</v>
      </c>
      <c r="U454" s="1">
        <f t="shared" si="30"/>
        <v>0</v>
      </c>
    </row>
    <row r="455" spans="1:21" x14ac:dyDescent="0.25">
      <c r="A455" s="1" t="s">
        <v>983</v>
      </c>
      <c r="B455" s="1" t="s">
        <v>977</v>
      </c>
      <c r="C455" s="1" t="s">
        <v>31</v>
      </c>
      <c r="D455" s="2">
        <v>45173</v>
      </c>
      <c r="E455" s="2">
        <v>45330</v>
      </c>
      <c r="F455" s="2">
        <v>45173</v>
      </c>
      <c r="G455" s="2">
        <v>45330</v>
      </c>
      <c r="H455" s="1" t="s">
        <v>20</v>
      </c>
      <c r="I455" s="1">
        <v>100</v>
      </c>
      <c r="J455" s="1">
        <v>11565733</v>
      </c>
      <c r="L455" s="1" t="s">
        <v>984</v>
      </c>
      <c r="M455" s="1" t="s">
        <v>984</v>
      </c>
      <c r="N455" s="1" t="s">
        <v>22</v>
      </c>
      <c r="O455" s="1">
        <v>1</v>
      </c>
      <c r="P455" s="1" t="b">
        <v>1</v>
      </c>
      <c r="R455" s="1">
        <f t="shared" si="28"/>
        <v>0</v>
      </c>
      <c r="T455" s="1">
        <f t="shared" si="29"/>
        <v>0</v>
      </c>
      <c r="U455" s="1">
        <f t="shared" si="30"/>
        <v>0</v>
      </c>
    </row>
    <row r="456" spans="1:21" x14ac:dyDescent="0.25">
      <c r="A456" s="1" t="s">
        <v>985</v>
      </c>
      <c r="B456" s="1" t="s">
        <v>977</v>
      </c>
      <c r="C456" s="1" t="s">
        <v>34</v>
      </c>
      <c r="D456" s="2">
        <v>45330</v>
      </c>
      <c r="E456" s="2">
        <v>45592</v>
      </c>
      <c r="F456" s="2">
        <v>45330</v>
      </c>
      <c r="G456" s="2">
        <v>45592</v>
      </c>
      <c r="H456" s="1" t="s">
        <v>20</v>
      </c>
      <c r="I456" s="1">
        <v>100</v>
      </c>
      <c r="J456" s="1">
        <v>19276223</v>
      </c>
      <c r="L456" s="1" t="s">
        <v>986</v>
      </c>
      <c r="M456" s="1" t="s">
        <v>986</v>
      </c>
      <c r="N456" s="1" t="s">
        <v>22</v>
      </c>
      <c r="O456" s="1">
        <v>1</v>
      </c>
      <c r="P456" s="1" t="b">
        <v>1</v>
      </c>
      <c r="Q456" s="1" t="s">
        <v>29</v>
      </c>
      <c r="R456" s="1">
        <f t="shared" si="28"/>
        <v>0</v>
      </c>
      <c r="T456" s="1">
        <f t="shared" si="29"/>
        <v>0</v>
      </c>
      <c r="U456" s="1">
        <f t="shared" si="30"/>
        <v>0</v>
      </c>
    </row>
    <row r="457" spans="1:21" x14ac:dyDescent="0.25">
      <c r="A457" s="1" t="s">
        <v>987</v>
      </c>
      <c r="B457" s="1" t="s">
        <v>977</v>
      </c>
      <c r="C457" s="1" t="s">
        <v>37</v>
      </c>
      <c r="D457" s="2">
        <v>45592</v>
      </c>
      <c r="E457" s="2">
        <v>45697</v>
      </c>
      <c r="F457" s="2">
        <v>45592</v>
      </c>
      <c r="G457" s="2">
        <v>45697</v>
      </c>
      <c r="H457" s="1" t="s">
        <v>20</v>
      </c>
      <c r="I457" s="1">
        <v>100</v>
      </c>
      <c r="J457" s="1">
        <v>7710489</v>
      </c>
      <c r="L457" s="1" t="s">
        <v>988</v>
      </c>
      <c r="M457" s="1" t="s">
        <v>988</v>
      </c>
      <c r="N457" s="1" t="s">
        <v>22</v>
      </c>
      <c r="O457" s="1">
        <v>1</v>
      </c>
      <c r="P457" s="1" t="b">
        <v>1</v>
      </c>
      <c r="R457" s="1">
        <f t="shared" si="28"/>
        <v>0</v>
      </c>
      <c r="T457" s="1">
        <f t="shared" si="29"/>
        <v>0</v>
      </c>
      <c r="U457" s="1">
        <f t="shared" si="30"/>
        <v>0</v>
      </c>
    </row>
    <row r="458" spans="1:21" x14ac:dyDescent="0.25">
      <c r="A458" s="1" t="s">
        <v>989</v>
      </c>
      <c r="B458" s="1" t="s">
        <v>977</v>
      </c>
      <c r="C458" s="1" t="s">
        <v>41</v>
      </c>
      <c r="D458" s="2">
        <v>45697</v>
      </c>
      <c r="E458" s="2">
        <v>45781</v>
      </c>
      <c r="F458" s="2">
        <v>45697</v>
      </c>
      <c r="G458" s="2">
        <v>45781</v>
      </c>
      <c r="H458" s="1" t="s">
        <v>20</v>
      </c>
      <c r="I458" s="1">
        <v>100</v>
      </c>
      <c r="J458" s="1">
        <v>6168391</v>
      </c>
      <c r="L458" s="1" t="s">
        <v>990</v>
      </c>
      <c r="M458" s="1" t="s">
        <v>990</v>
      </c>
      <c r="N458" s="1" t="s">
        <v>22</v>
      </c>
      <c r="O458" s="1">
        <v>1</v>
      </c>
      <c r="P458" s="1" t="b">
        <v>1</v>
      </c>
      <c r="R458" s="1">
        <f t="shared" si="28"/>
        <v>0</v>
      </c>
      <c r="T458" s="1">
        <f t="shared" si="29"/>
        <v>0</v>
      </c>
      <c r="U458" s="1">
        <f t="shared" si="30"/>
        <v>0</v>
      </c>
    </row>
    <row r="459" spans="1:21" x14ac:dyDescent="0.25">
      <c r="A459" s="1" t="s">
        <v>991</v>
      </c>
      <c r="B459" s="1" t="s">
        <v>977</v>
      </c>
      <c r="C459" s="1" t="s">
        <v>45</v>
      </c>
      <c r="D459" s="2">
        <v>45781</v>
      </c>
      <c r="E459" s="2">
        <v>45886</v>
      </c>
      <c r="F459" s="2">
        <v>45781</v>
      </c>
      <c r="G459" s="2">
        <v>45886</v>
      </c>
      <c r="H459" s="1" t="s">
        <v>20</v>
      </c>
      <c r="I459" s="1">
        <v>100</v>
      </c>
      <c r="J459" s="1">
        <v>7710489</v>
      </c>
      <c r="L459" s="1" t="s">
        <v>992</v>
      </c>
      <c r="M459" s="1" t="s">
        <v>992</v>
      </c>
      <c r="N459" s="1" t="s">
        <v>22</v>
      </c>
      <c r="O459" s="1">
        <v>1</v>
      </c>
      <c r="P459" s="1" t="b">
        <v>1</v>
      </c>
      <c r="R459" s="1">
        <f t="shared" si="28"/>
        <v>0</v>
      </c>
      <c r="T459" s="1">
        <f t="shared" si="29"/>
        <v>0</v>
      </c>
      <c r="U459" s="1">
        <f t="shared" si="30"/>
        <v>0</v>
      </c>
    </row>
    <row r="460" spans="1:21" x14ac:dyDescent="0.25">
      <c r="A460" s="1" t="s">
        <v>993</v>
      </c>
      <c r="B460" s="1" t="s">
        <v>977</v>
      </c>
      <c r="C460" s="1" t="s">
        <v>48</v>
      </c>
      <c r="D460" s="2">
        <v>45886</v>
      </c>
      <c r="E460" s="2">
        <v>45917</v>
      </c>
      <c r="F460" s="2">
        <v>45886</v>
      </c>
      <c r="G460" s="2">
        <v>45917</v>
      </c>
      <c r="H460" s="1" t="s">
        <v>20</v>
      </c>
      <c r="I460" s="1">
        <v>100</v>
      </c>
      <c r="J460" s="1">
        <v>2313146</v>
      </c>
      <c r="L460" s="1" t="s">
        <v>994</v>
      </c>
      <c r="M460" s="1" t="s">
        <v>994</v>
      </c>
      <c r="N460" s="1" t="s">
        <v>22</v>
      </c>
      <c r="O460" s="1">
        <v>1</v>
      </c>
      <c r="P460" s="1" t="b">
        <v>1</v>
      </c>
      <c r="R460" s="1">
        <f t="shared" si="28"/>
        <v>0</v>
      </c>
      <c r="T460" s="1">
        <f t="shared" si="29"/>
        <v>0</v>
      </c>
      <c r="U460" s="1">
        <f t="shared" si="30"/>
        <v>0</v>
      </c>
    </row>
    <row r="461" spans="1:21" x14ac:dyDescent="0.25">
      <c r="A461" s="1" t="s">
        <v>995</v>
      </c>
      <c r="B461" s="1" t="s">
        <v>977</v>
      </c>
      <c r="C461" s="1" t="s">
        <v>51</v>
      </c>
      <c r="D461" s="2">
        <v>45917</v>
      </c>
      <c r="E461" s="2">
        <v>45938</v>
      </c>
      <c r="F461" s="2">
        <v>45917</v>
      </c>
      <c r="G461" s="2">
        <v>45938</v>
      </c>
      <c r="H461" s="1" t="s">
        <v>20</v>
      </c>
      <c r="I461" s="1">
        <v>100</v>
      </c>
      <c r="J461" s="1">
        <v>1542097</v>
      </c>
      <c r="L461" s="1" t="s">
        <v>996</v>
      </c>
      <c r="M461" s="1" t="s">
        <v>996</v>
      </c>
      <c r="N461" s="1" t="s">
        <v>22</v>
      </c>
      <c r="O461" s="1">
        <v>1</v>
      </c>
      <c r="P461" s="1" t="b">
        <v>1</v>
      </c>
      <c r="R461" s="1">
        <f t="shared" si="28"/>
        <v>0</v>
      </c>
      <c r="T461" s="1">
        <f t="shared" si="29"/>
        <v>0</v>
      </c>
      <c r="U461" s="1">
        <f t="shared" si="30"/>
        <v>0</v>
      </c>
    </row>
    <row r="462" spans="1:21" x14ac:dyDescent="0.25">
      <c r="A462" s="1" t="s">
        <v>997</v>
      </c>
      <c r="B462" s="1" t="s">
        <v>998</v>
      </c>
      <c r="C462" s="1" t="s">
        <v>19</v>
      </c>
      <c r="D462" s="2">
        <v>45545</v>
      </c>
      <c r="E462" s="2">
        <v>45575</v>
      </c>
      <c r="F462" s="2">
        <v>45545</v>
      </c>
      <c r="G462" s="2">
        <v>45575</v>
      </c>
      <c r="H462" s="1" t="s">
        <v>20</v>
      </c>
      <c r="I462" s="1">
        <v>100</v>
      </c>
      <c r="J462" s="1">
        <v>24175572</v>
      </c>
      <c r="L462" s="1" t="s">
        <v>999</v>
      </c>
      <c r="M462" s="1" t="s">
        <v>999</v>
      </c>
      <c r="N462" s="1" t="s">
        <v>22</v>
      </c>
      <c r="O462" s="1">
        <v>1</v>
      </c>
      <c r="P462" s="1" t="b">
        <v>1</v>
      </c>
      <c r="R462" s="1">
        <f t="shared" si="28"/>
        <v>0</v>
      </c>
      <c r="T462" s="1">
        <f t="shared" si="29"/>
        <v>0</v>
      </c>
      <c r="U462" s="1">
        <f t="shared" si="30"/>
        <v>0</v>
      </c>
    </row>
    <row r="463" spans="1:21" x14ac:dyDescent="0.25">
      <c r="A463" s="1" t="s">
        <v>1000</v>
      </c>
      <c r="B463" s="1" t="s">
        <v>998</v>
      </c>
      <c r="C463" s="1" t="s">
        <v>24</v>
      </c>
      <c r="D463" s="2">
        <v>45575</v>
      </c>
      <c r="E463" s="2">
        <v>45635</v>
      </c>
      <c r="F463" s="2">
        <v>45575</v>
      </c>
      <c r="G463" s="2">
        <v>45635</v>
      </c>
      <c r="H463" s="1" t="s">
        <v>20</v>
      </c>
      <c r="I463" s="1">
        <v>100</v>
      </c>
      <c r="J463" s="1">
        <v>48351145</v>
      </c>
      <c r="L463" s="1" t="s">
        <v>1001</v>
      </c>
      <c r="M463" s="1" t="s">
        <v>1001</v>
      </c>
      <c r="N463" s="1" t="s">
        <v>22</v>
      </c>
      <c r="O463" s="1">
        <v>1</v>
      </c>
      <c r="P463" s="1" t="b">
        <v>1</v>
      </c>
      <c r="R463" s="1">
        <f t="shared" si="28"/>
        <v>0</v>
      </c>
      <c r="T463" s="1">
        <f t="shared" si="29"/>
        <v>0</v>
      </c>
      <c r="U463" s="1">
        <f t="shared" si="30"/>
        <v>0</v>
      </c>
    </row>
    <row r="464" spans="1:21" x14ac:dyDescent="0.25">
      <c r="A464" s="1" t="s">
        <v>1002</v>
      </c>
      <c r="B464" s="1" t="s">
        <v>998</v>
      </c>
      <c r="C464" s="1" t="s">
        <v>27</v>
      </c>
      <c r="D464" s="2">
        <v>45635</v>
      </c>
      <c r="E464" s="2">
        <v>45707</v>
      </c>
      <c r="F464" s="2">
        <v>45635</v>
      </c>
      <c r="G464" s="2">
        <v>45707</v>
      </c>
      <c r="H464" s="1" t="s">
        <v>20</v>
      </c>
      <c r="I464" s="1">
        <v>100</v>
      </c>
      <c r="J464" s="1">
        <v>58021374</v>
      </c>
      <c r="L464" s="1" t="s">
        <v>1003</v>
      </c>
      <c r="M464" s="1" t="s">
        <v>1003</v>
      </c>
      <c r="N464" s="1" t="s">
        <v>22</v>
      </c>
      <c r="O464" s="1">
        <v>1</v>
      </c>
      <c r="P464" s="1" t="b">
        <v>1</v>
      </c>
      <c r="Q464" s="1" t="s">
        <v>29</v>
      </c>
      <c r="R464" s="1">
        <f t="shared" si="28"/>
        <v>0</v>
      </c>
      <c r="T464" s="1">
        <f t="shared" si="29"/>
        <v>0</v>
      </c>
      <c r="U464" s="1">
        <f t="shared" si="30"/>
        <v>0</v>
      </c>
    </row>
    <row r="465" spans="1:21" x14ac:dyDescent="0.25">
      <c r="A465" s="1" t="s">
        <v>1004</v>
      </c>
      <c r="B465" s="1" t="s">
        <v>998</v>
      </c>
      <c r="C465" s="1" t="s">
        <v>31</v>
      </c>
      <c r="D465" s="2">
        <v>45707</v>
      </c>
      <c r="E465" s="2">
        <v>45797</v>
      </c>
      <c r="F465" s="2">
        <v>45707</v>
      </c>
      <c r="G465" s="2">
        <v>45797</v>
      </c>
      <c r="H465" s="1" t="s">
        <v>20</v>
      </c>
      <c r="I465" s="1">
        <v>100</v>
      </c>
      <c r="J465" s="1">
        <v>72526717</v>
      </c>
      <c r="L465" s="1" t="s">
        <v>1005</v>
      </c>
      <c r="M465" s="1" t="s">
        <v>1005</v>
      </c>
      <c r="N465" s="1" t="s">
        <v>22</v>
      </c>
      <c r="O465" s="1">
        <v>1</v>
      </c>
      <c r="P465" s="1" t="b">
        <v>1</v>
      </c>
      <c r="R465" s="1">
        <f t="shared" si="28"/>
        <v>0</v>
      </c>
      <c r="T465" s="1">
        <f t="shared" si="29"/>
        <v>0</v>
      </c>
      <c r="U465" s="1">
        <f t="shared" si="30"/>
        <v>0</v>
      </c>
    </row>
    <row r="466" spans="1:21" x14ac:dyDescent="0.25">
      <c r="A466" s="1" t="s">
        <v>1006</v>
      </c>
      <c r="B466" s="1" t="s">
        <v>998</v>
      </c>
      <c r="C466" s="1" t="s">
        <v>34</v>
      </c>
      <c r="D466" s="2">
        <v>45797</v>
      </c>
      <c r="E466" s="2">
        <v>45947</v>
      </c>
      <c r="F466" s="2">
        <v>45797</v>
      </c>
      <c r="G466" s="2">
        <v>45947</v>
      </c>
      <c r="H466" s="1" t="s">
        <v>20</v>
      </c>
      <c r="I466" s="1">
        <v>100</v>
      </c>
      <c r="J466" s="1">
        <v>120877863</v>
      </c>
      <c r="L466" s="1" t="s">
        <v>1007</v>
      </c>
      <c r="M466" s="1" t="s">
        <v>1007</v>
      </c>
      <c r="N466" s="1" t="s">
        <v>22</v>
      </c>
      <c r="O466" s="1">
        <v>1</v>
      </c>
      <c r="P466" s="1" t="b">
        <v>1</v>
      </c>
      <c r="Q466" s="1" t="s">
        <v>29</v>
      </c>
      <c r="R466" s="1">
        <f t="shared" si="28"/>
        <v>0</v>
      </c>
      <c r="T466" s="1">
        <f t="shared" si="29"/>
        <v>0</v>
      </c>
      <c r="U466" s="1">
        <f t="shared" si="30"/>
        <v>0</v>
      </c>
    </row>
    <row r="467" spans="1:21" x14ac:dyDescent="0.25">
      <c r="A467" s="1" t="s">
        <v>1008</v>
      </c>
      <c r="B467" s="1" t="s">
        <v>998</v>
      </c>
      <c r="C467" s="1" t="s">
        <v>37</v>
      </c>
      <c r="D467" s="2">
        <v>45947</v>
      </c>
      <c r="E467" s="2">
        <v>46007</v>
      </c>
      <c r="F467" s="2">
        <v>45947</v>
      </c>
      <c r="G467" s="2">
        <v>46007</v>
      </c>
      <c r="H467" s="1" t="s">
        <v>20</v>
      </c>
      <c r="I467" s="1">
        <v>100</v>
      </c>
      <c r="J467" s="1">
        <v>48351145</v>
      </c>
      <c r="L467" s="1" t="s">
        <v>1009</v>
      </c>
      <c r="M467" s="1" t="s">
        <v>1009</v>
      </c>
      <c r="N467" s="1" t="s">
        <v>22</v>
      </c>
      <c r="O467" s="1">
        <v>1</v>
      </c>
      <c r="P467" s="1" t="b">
        <v>1</v>
      </c>
      <c r="R467" s="1">
        <f t="shared" si="28"/>
        <v>0</v>
      </c>
      <c r="T467" s="1">
        <f t="shared" si="29"/>
        <v>0</v>
      </c>
      <c r="U467" s="1">
        <f t="shared" si="30"/>
        <v>0</v>
      </c>
    </row>
    <row r="468" spans="1:21" x14ac:dyDescent="0.25">
      <c r="A468" s="1" t="s">
        <v>1010</v>
      </c>
      <c r="B468" s="1" t="s">
        <v>998</v>
      </c>
      <c r="C468" s="1" t="s">
        <v>41</v>
      </c>
      <c r="D468" s="2">
        <v>46007</v>
      </c>
      <c r="E468" s="2">
        <v>46055</v>
      </c>
      <c r="F468" s="2">
        <v>46007</v>
      </c>
      <c r="G468" s="2">
        <v>46055</v>
      </c>
      <c r="H468" s="1" t="s">
        <v>20</v>
      </c>
      <c r="I468" s="1">
        <v>100</v>
      </c>
      <c r="J468" s="1">
        <v>38680916</v>
      </c>
      <c r="L468" s="1" t="s">
        <v>1011</v>
      </c>
      <c r="M468" s="1" t="s">
        <v>1011</v>
      </c>
      <c r="N468" s="1" t="s">
        <v>22</v>
      </c>
      <c r="O468" s="1">
        <v>1</v>
      </c>
      <c r="P468" s="1" t="b">
        <v>1</v>
      </c>
      <c r="R468" s="1">
        <f t="shared" si="28"/>
        <v>0</v>
      </c>
      <c r="T468" s="1">
        <f t="shared" si="29"/>
        <v>0</v>
      </c>
      <c r="U468" s="1">
        <f t="shared" si="30"/>
        <v>0</v>
      </c>
    </row>
    <row r="469" spans="1:21" x14ac:dyDescent="0.25">
      <c r="A469" s="1" t="s">
        <v>1012</v>
      </c>
      <c r="B469" s="1" t="s">
        <v>998</v>
      </c>
      <c r="C469" s="1" t="s">
        <v>45</v>
      </c>
      <c r="D469" s="2">
        <v>46055</v>
      </c>
      <c r="E469" s="2">
        <v>46115</v>
      </c>
      <c r="F469" s="2">
        <v>46055</v>
      </c>
      <c r="H469" s="1" t="s">
        <v>38</v>
      </c>
      <c r="I469" s="1">
        <v>42</v>
      </c>
      <c r="J469" s="1">
        <v>48351145</v>
      </c>
      <c r="L469" s="1" t="s">
        <v>1013</v>
      </c>
      <c r="M469" s="1" t="s">
        <v>1013</v>
      </c>
      <c r="N469" s="1" t="s">
        <v>22</v>
      </c>
      <c r="O469" s="1">
        <v>1</v>
      </c>
      <c r="P469" s="1" t="b">
        <v>1</v>
      </c>
      <c r="S469" s="1">
        <f>R$7-E469</f>
        <v>179</v>
      </c>
      <c r="T469" s="1">
        <f t="shared" si="29"/>
        <v>1</v>
      </c>
      <c r="U469" s="1">
        <f t="shared" si="30"/>
        <v>179</v>
      </c>
    </row>
    <row r="470" spans="1:21" x14ac:dyDescent="0.25">
      <c r="A470" s="1" t="s">
        <v>1014</v>
      </c>
      <c r="B470" s="1" t="s">
        <v>998</v>
      </c>
      <c r="C470" s="1" t="s">
        <v>48</v>
      </c>
      <c r="D470" s="2">
        <v>46115</v>
      </c>
      <c r="E470" s="2">
        <v>46133</v>
      </c>
      <c r="H470" s="1" t="s">
        <v>42</v>
      </c>
      <c r="I470" s="1">
        <v>0</v>
      </c>
      <c r="J470" s="1">
        <v>14505343</v>
      </c>
      <c r="L470" s="1" t="s">
        <v>1015</v>
      </c>
      <c r="M470" s="1" t="s">
        <v>1015</v>
      </c>
      <c r="N470" s="1" t="s">
        <v>22</v>
      </c>
      <c r="O470" s="1">
        <v>1</v>
      </c>
      <c r="P470" s="1" t="b">
        <v>1</v>
      </c>
      <c r="S470" s="1">
        <f>R$7-E470</f>
        <v>161</v>
      </c>
      <c r="T470" s="1">
        <f t="shared" si="29"/>
        <v>1</v>
      </c>
      <c r="U470" s="1">
        <f t="shared" si="30"/>
        <v>161</v>
      </c>
    </row>
    <row r="471" spans="1:21" x14ac:dyDescent="0.25">
      <c r="A471" s="1" t="s">
        <v>1016</v>
      </c>
      <c r="B471" s="1" t="s">
        <v>998</v>
      </c>
      <c r="C471" s="1" t="s">
        <v>51</v>
      </c>
      <c r="D471" s="2">
        <v>46133</v>
      </c>
      <c r="E471" s="2">
        <v>46145</v>
      </c>
      <c r="H471" s="1" t="s">
        <v>42</v>
      </c>
      <c r="I471" s="1">
        <v>0</v>
      </c>
      <c r="J471" s="1">
        <v>9670229</v>
      </c>
      <c r="L471" s="1" t="s">
        <v>1017</v>
      </c>
      <c r="M471" s="1" t="s">
        <v>1017</v>
      </c>
      <c r="N471" s="1" t="s">
        <v>22</v>
      </c>
      <c r="O471" s="1">
        <v>1</v>
      </c>
      <c r="P471" s="1" t="b">
        <v>1</v>
      </c>
      <c r="S471" s="1">
        <f>R$7-E471</f>
        <v>149</v>
      </c>
      <c r="T471" s="1">
        <f t="shared" si="29"/>
        <v>1</v>
      </c>
      <c r="U471" s="1">
        <f t="shared" si="30"/>
        <v>149</v>
      </c>
    </row>
    <row r="472" spans="1:21" x14ac:dyDescent="0.25">
      <c r="A472" s="1" t="s">
        <v>1018</v>
      </c>
      <c r="B472" s="1" t="s">
        <v>1019</v>
      </c>
      <c r="C472" s="1" t="s">
        <v>19</v>
      </c>
      <c r="D472" s="2">
        <v>44770</v>
      </c>
      <c r="E472" s="2">
        <v>44791</v>
      </c>
      <c r="F472" s="2">
        <v>44770</v>
      </c>
      <c r="G472" s="2">
        <v>44791</v>
      </c>
      <c r="H472" s="1" t="s">
        <v>20</v>
      </c>
      <c r="I472" s="1">
        <v>100</v>
      </c>
      <c r="J472" s="1">
        <v>15056738</v>
      </c>
      <c r="L472" s="1" t="s">
        <v>1020</v>
      </c>
      <c r="M472" s="1" t="s">
        <v>1020</v>
      </c>
      <c r="N472" s="1" t="s">
        <v>22</v>
      </c>
      <c r="O472" s="1">
        <v>1</v>
      </c>
      <c r="P472" s="1" t="b">
        <v>1</v>
      </c>
      <c r="R472" s="1">
        <f t="shared" ref="R472:R514" si="31">G472-E472</f>
        <v>0</v>
      </c>
      <c r="T472" s="1">
        <f t="shared" si="29"/>
        <v>0</v>
      </c>
      <c r="U472" s="1">
        <f t="shared" si="30"/>
        <v>0</v>
      </c>
    </row>
    <row r="473" spans="1:21" x14ac:dyDescent="0.25">
      <c r="A473" s="1" t="s">
        <v>1021</v>
      </c>
      <c r="B473" s="1" t="s">
        <v>1019</v>
      </c>
      <c r="C473" s="1" t="s">
        <v>24</v>
      </c>
      <c r="D473" s="2">
        <v>44791</v>
      </c>
      <c r="E473" s="2">
        <v>44833</v>
      </c>
      <c r="F473" s="2">
        <v>44791</v>
      </c>
      <c r="G473" s="2">
        <v>44833</v>
      </c>
      <c r="H473" s="1" t="s">
        <v>20</v>
      </c>
      <c r="I473" s="1">
        <v>100</v>
      </c>
      <c r="J473" s="1">
        <v>30113477</v>
      </c>
      <c r="L473" s="1" t="s">
        <v>1022</v>
      </c>
      <c r="M473" s="1" t="s">
        <v>1022</v>
      </c>
      <c r="N473" s="1" t="s">
        <v>22</v>
      </c>
      <c r="O473" s="1">
        <v>1</v>
      </c>
      <c r="P473" s="1" t="b">
        <v>1</v>
      </c>
      <c r="R473" s="1">
        <f t="shared" si="31"/>
        <v>0</v>
      </c>
      <c r="T473" s="1">
        <f t="shared" si="29"/>
        <v>0</v>
      </c>
      <c r="U473" s="1">
        <f t="shared" si="30"/>
        <v>0</v>
      </c>
    </row>
    <row r="474" spans="1:21" x14ac:dyDescent="0.25">
      <c r="A474" s="1" t="s">
        <v>1023</v>
      </c>
      <c r="B474" s="1" t="s">
        <v>1019</v>
      </c>
      <c r="C474" s="1" t="s">
        <v>27</v>
      </c>
      <c r="D474" s="2">
        <v>44833</v>
      </c>
      <c r="E474" s="2">
        <v>44883</v>
      </c>
      <c r="F474" s="2">
        <v>44833</v>
      </c>
      <c r="G474" s="2">
        <v>44883</v>
      </c>
      <c r="H474" s="1" t="s">
        <v>20</v>
      </c>
      <c r="I474" s="1">
        <v>100</v>
      </c>
      <c r="J474" s="1">
        <v>36136173</v>
      </c>
      <c r="L474" s="1" t="s">
        <v>1024</v>
      </c>
      <c r="M474" s="1" t="s">
        <v>1024</v>
      </c>
      <c r="N474" s="1" t="s">
        <v>22</v>
      </c>
      <c r="O474" s="1">
        <v>1</v>
      </c>
      <c r="P474" s="1" t="b">
        <v>1</v>
      </c>
      <c r="Q474" s="1" t="s">
        <v>29</v>
      </c>
      <c r="R474" s="1">
        <f t="shared" si="31"/>
        <v>0</v>
      </c>
      <c r="T474" s="1">
        <f t="shared" si="29"/>
        <v>0</v>
      </c>
      <c r="U474" s="1">
        <f t="shared" si="30"/>
        <v>0</v>
      </c>
    </row>
    <row r="475" spans="1:21" x14ac:dyDescent="0.25">
      <c r="A475" s="1" t="s">
        <v>1025</v>
      </c>
      <c r="B475" s="1" t="s">
        <v>1019</v>
      </c>
      <c r="C475" s="1" t="s">
        <v>31</v>
      </c>
      <c r="D475" s="2">
        <v>44883</v>
      </c>
      <c r="E475" s="2">
        <v>44946</v>
      </c>
      <c r="F475" s="2">
        <v>44883</v>
      </c>
      <c r="G475" s="2">
        <v>44946</v>
      </c>
      <c r="H475" s="1" t="s">
        <v>20</v>
      </c>
      <c r="I475" s="1">
        <v>100</v>
      </c>
      <c r="J475" s="1">
        <v>45170216</v>
      </c>
      <c r="L475" s="1" t="s">
        <v>1026</v>
      </c>
      <c r="M475" s="1" t="s">
        <v>1026</v>
      </c>
      <c r="N475" s="1" t="s">
        <v>22</v>
      </c>
      <c r="O475" s="1">
        <v>1</v>
      </c>
      <c r="P475" s="1" t="b">
        <v>1</v>
      </c>
      <c r="R475" s="1">
        <f t="shared" si="31"/>
        <v>0</v>
      </c>
      <c r="T475" s="1">
        <f t="shared" si="29"/>
        <v>0</v>
      </c>
      <c r="U475" s="1">
        <f t="shared" si="30"/>
        <v>0</v>
      </c>
    </row>
    <row r="476" spans="1:21" x14ac:dyDescent="0.25">
      <c r="A476" s="1" t="s">
        <v>1027</v>
      </c>
      <c r="B476" s="1" t="s">
        <v>1019</v>
      </c>
      <c r="C476" s="1" t="s">
        <v>34</v>
      </c>
      <c r="D476" s="2">
        <v>44946</v>
      </c>
      <c r="E476" s="2">
        <v>45051</v>
      </c>
      <c r="F476" s="2">
        <v>44946</v>
      </c>
      <c r="G476" s="2">
        <v>45051</v>
      </c>
      <c r="H476" s="1" t="s">
        <v>20</v>
      </c>
      <c r="I476" s="1">
        <v>100</v>
      </c>
      <c r="J476" s="1">
        <v>75283693</v>
      </c>
      <c r="L476" s="1" t="s">
        <v>1028</v>
      </c>
      <c r="M476" s="1" t="s">
        <v>1028</v>
      </c>
      <c r="N476" s="1" t="s">
        <v>22</v>
      </c>
      <c r="O476" s="1">
        <v>1</v>
      </c>
      <c r="P476" s="1" t="b">
        <v>1</v>
      </c>
      <c r="Q476" s="1" t="s">
        <v>29</v>
      </c>
      <c r="R476" s="1">
        <f t="shared" si="31"/>
        <v>0</v>
      </c>
      <c r="T476" s="1">
        <f t="shared" si="29"/>
        <v>0</v>
      </c>
      <c r="U476" s="1">
        <f t="shared" si="30"/>
        <v>0</v>
      </c>
    </row>
    <row r="477" spans="1:21" x14ac:dyDescent="0.25">
      <c r="A477" s="1" t="s">
        <v>1029</v>
      </c>
      <c r="B477" s="1" t="s">
        <v>1019</v>
      </c>
      <c r="C477" s="1" t="s">
        <v>37</v>
      </c>
      <c r="D477" s="2">
        <v>45051</v>
      </c>
      <c r="E477" s="2">
        <v>45093</v>
      </c>
      <c r="F477" s="2">
        <v>45051</v>
      </c>
      <c r="G477" s="2">
        <v>45093</v>
      </c>
      <c r="H477" s="1" t="s">
        <v>20</v>
      </c>
      <c r="I477" s="1">
        <v>100</v>
      </c>
      <c r="J477" s="1">
        <v>30113477</v>
      </c>
      <c r="L477" s="1" t="s">
        <v>1030</v>
      </c>
      <c r="M477" s="1" t="s">
        <v>1030</v>
      </c>
      <c r="N477" s="1" t="s">
        <v>22</v>
      </c>
      <c r="O477" s="1">
        <v>1</v>
      </c>
      <c r="P477" s="1" t="b">
        <v>1</v>
      </c>
      <c r="R477" s="1">
        <f t="shared" si="31"/>
        <v>0</v>
      </c>
      <c r="T477" s="1">
        <f t="shared" si="29"/>
        <v>0</v>
      </c>
      <c r="U477" s="1">
        <f t="shared" si="30"/>
        <v>0</v>
      </c>
    </row>
    <row r="478" spans="1:21" x14ac:dyDescent="0.25">
      <c r="A478" s="1" t="s">
        <v>1031</v>
      </c>
      <c r="B478" s="1" t="s">
        <v>1019</v>
      </c>
      <c r="C478" s="1" t="s">
        <v>41</v>
      </c>
      <c r="D478" s="2">
        <v>45093</v>
      </c>
      <c r="E478" s="2">
        <v>45126</v>
      </c>
      <c r="F478" s="2">
        <v>45093</v>
      </c>
      <c r="G478" s="2">
        <v>45126</v>
      </c>
      <c r="H478" s="1" t="s">
        <v>20</v>
      </c>
      <c r="I478" s="1">
        <v>100</v>
      </c>
      <c r="J478" s="1">
        <v>24090782</v>
      </c>
      <c r="L478" s="1" t="s">
        <v>1032</v>
      </c>
      <c r="M478" s="1" t="s">
        <v>1032</v>
      </c>
      <c r="N478" s="1" t="s">
        <v>22</v>
      </c>
      <c r="O478" s="1">
        <v>1</v>
      </c>
      <c r="P478" s="1" t="b">
        <v>1</v>
      </c>
      <c r="R478" s="1">
        <f t="shared" si="31"/>
        <v>0</v>
      </c>
      <c r="T478" s="1">
        <f t="shared" si="29"/>
        <v>0</v>
      </c>
      <c r="U478" s="1">
        <f t="shared" si="30"/>
        <v>0</v>
      </c>
    </row>
    <row r="479" spans="1:21" x14ac:dyDescent="0.25">
      <c r="A479" s="1" t="s">
        <v>1033</v>
      </c>
      <c r="B479" s="1" t="s">
        <v>1019</v>
      </c>
      <c r="C479" s="1" t="s">
        <v>45</v>
      </c>
      <c r="D479" s="2">
        <v>45126</v>
      </c>
      <c r="E479" s="2">
        <v>45168</v>
      </c>
      <c r="F479" s="2">
        <v>45126</v>
      </c>
      <c r="G479" s="2">
        <v>45168</v>
      </c>
      <c r="H479" s="1" t="s">
        <v>20</v>
      </c>
      <c r="I479" s="1">
        <v>100</v>
      </c>
      <c r="J479" s="1">
        <v>30113477</v>
      </c>
      <c r="L479" s="1" t="s">
        <v>1034</v>
      </c>
      <c r="M479" s="1" t="s">
        <v>1034</v>
      </c>
      <c r="N479" s="1" t="s">
        <v>22</v>
      </c>
      <c r="O479" s="1">
        <v>1</v>
      </c>
      <c r="P479" s="1" t="b">
        <v>1</v>
      </c>
      <c r="R479" s="1">
        <f t="shared" si="31"/>
        <v>0</v>
      </c>
      <c r="T479" s="1">
        <f t="shared" si="29"/>
        <v>0</v>
      </c>
      <c r="U479" s="1">
        <f t="shared" si="30"/>
        <v>0</v>
      </c>
    </row>
    <row r="480" spans="1:21" x14ac:dyDescent="0.25">
      <c r="A480" s="1" t="s">
        <v>1035</v>
      </c>
      <c r="B480" s="1" t="s">
        <v>1019</v>
      </c>
      <c r="C480" s="1" t="s">
        <v>48</v>
      </c>
      <c r="D480" s="2">
        <v>45168</v>
      </c>
      <c r="E480" s="2">
        <v>45180</v>
      </c>
      <c r="F480" s="2">
        <v>45168</v>
      </c>
      <c r="G480" s="2">
        <v>45180</v>
      </c>
      <c r="H480" s="1" t="s">
        <v>20</v>
      </c>
      <c r="I480" s="1">
        <v>100</v>
      </c>
      <c r="J480" s="1">
        <v>9034043</v>
      </c>
      <c r="L480" s="1" t="s">
        <v>1036</v>
      </c>
      <c r="M480" s="1" t="s">
        <v>1036</v>
      </c>
      <c r="N480" s="1" t="s">
        <v>22</v>
      </c>
      <c r="O480" s="1">
        <v>1</v>
      </c>
      <c r="P480" s="1" t="b">
        <v>1</v>
      </c>
      <c r="R480" s="1">
        <f t="shared" si="31"/>
        <v>0</v>
      </c>
      <c r="T480" s="1">
        <f t="shared" si="29"/>
        <v>0</v>
      </c>
      <c r="U480" s="1">
        <f t="shared" si="30"/>
        <v>0</v>
      </c>
    </row>
    <row r="481" spans="1:21" x14ac:dyDescent="0.25">
      <c r="A481" s="1" t="s">
        <v>1037</v>
      </c>
      <c r="B481" s="1" t="s">
        <v>1019</v>
      </c>
      <c r="C481" s="1" t="s">
        <v>51</v>
      </c>
      <c r="D481" s="2">
        <v>45180</v>
      </c>
      <c r="E481" s="2">
        <v>45188</v>
      </c>
      <c r="F481" s="2">
        <v>45180</v>
      </c>
      <c r="G481" s="2">
        <v>45188</v>
      </c>
      <c r="H481" s="1" t="s">
        <v>20</v>
      </c>
      <c r="I481" s="1">
        <v>100</v>
      </c>
      <c r="J481" s="1">
        <v>6022695</v>
      </c>
      <c r="L481" s="1" t="s">
        <v>1038</v>
      </c>
      <c r="M481" s="1" t="s">
        <v>1038</v>
      </c>
      <c r="N481" s="1" t="s">
        <v>22</v>
      </c>
      <c r="O481" s="1">
        <v>1</v>
      </c>
      <c r="P481" s="1" t="b">
        <v>1</v>
      </c>
      <c r="R481" s="1">
        <f t="shared" si="31"/>
        <v>0</v>
      </c>
      <c r="T481" s="1">
        <f t="shared" si="29"/>
        <v>0</v>
      </c>
      <c r="U481" s="1">
        <f t="shared" si="30"/>
        <v>0</v>
      </c>
    </row>
    <row r="482" spans="1:21" x14ac:dyDescent="0.25">
      <c r="A482" s="1" t="s">
        <v>1039</v>
      </c>
      <c r="B482" s="1" t="s">
        <v>1040</v>
      </c>
      <c r="C482" s="1" t="s">
        <v>19</v>
      </c>
      <c r="D482" s="2">
        <v>45574</v>
      </c>
      <c r="E482" s="2">
        <v>45599</v>
      </c>
      <c r="F482" s="2">
        <v>45574</v>
      </c>
      <c r="G482" s="2">
        <v>45599</v>
      </c>
      <c r="H482" s="1" t="s">
        <v>20</v>
      </c>
      <c r="I482" s="1">
        <v>100</v>
      </c>
      <c r="J482" s="1">
        <v>10901120</v>
      </c>
      <c r="L482" s="1" t="s">
        <v>1041</v>
      </c>
      <c r="M482" s="1" t="s">
        <v>1041</v>
      </c>
      <c r="N482" s="1" t="s">
        <v>22</v>
      </c>
      <c r="O482" s="1">
        <v>1</v>
      </c>
      <c r="P482" s="1" t="b">
        <v>1</v>
      </c>
      <c r="R482" s="1">
        <f t="shared" si="31"/>
        <v>0</v>
      </c>
      <c r="T482" s="1">
        <f t="shared" si="29"/>
        <v>0</v>
      </c>
      <c r="U482" s="1">
        <f t="shared" si="30"/>
        <v>0</v>
      </c>
    </row>
    <row r="483" spans="1:21" x14ac:dyDescent="0.25">
      <c r="A483" s="1" t="s">
        <v>1042</v>
      </c>
      <c r="B483" s="1" t="s">
        <v>1040</v>
      </c>
      <c r="C483" s="1" t="s">
        <v>24</v>
      </c>
      <c r="D483" s="2">
        <v>45599</v>
      </c>
      <c r="E483" s="2">
        <v>45650</v>
      </c>
      <c r="F483" s="2">
        <v>45599</v>
      </c>
      <c r="G483" s="2">
        <v>45650</v>
      </c>
      <c r="H483" s="1" t="s">
        <v>20</v>
      </c>
      <c r="I483" s="1">
        <v>100</v>
      </c>
      <c r="J483" s="1">
        <v>21802241</v>
      </c>
      <c r="L483" s="1" t="s">
        <v>1043</v>
      </c>
      <c r="M483" s="1" t="s">
        <v>1043</v>
      </c>
      <c r="N483" s="1" t="s">
        <v>22</v>
      </c>
      <c r="O483" s="1">
        <v>1</v>
      </c>
      <c r="P483" s="1" t="b">
        <v>1</v>
      </c>
      <c r="R483" s="1">
        <f t="shared" si="31"/>
        <v>0</v>
      </c>
      <c r="T483" s="1">
        <f t="shared" si="29"/>
        <v>0</v>
      </c>
      <c r="U483" s="1">
        <f t="shared" si="30"/>
        <v>0</v>
      </c>
    </row>
    <row r="484" spans="1:21" x14ac:dyDescent="0.25">
      <c r="A484" s="1" t="s">
        <v>1044</v>
      </c>
      <c r="B484" s="1" t="s">
        <v>1040</v>
      </c>
      <c r="C484" s="1" t="s">
        <v>27</v>
      </c>
      <c r="D484" s="2">
        <v>45650</v>
      </c>
      <c r="E484" s="2">
        <v>45711</v>
      </c>
      <c r="F484" s="2">
        <v>45650</v>
      </c>
      <c r="G484" s="2">
        <v>45711</v>
      </c>
      <c r="H484" s="1" t="s">
        <v>20</v>
      </c>
      <c r="I484" s="1">
        <v>100</v>
      </c>
      <c r="J484" s="1">
        <v>26162689</v>
      </c>
      <c r="L484" s="1" t="s">
        <v>1045</v>
      </c>
      <c r="M484" s="1" t="s">
        <v>1045</v>
      </c>
      <c r="N484" s="1" t="s">
        <v>22</v>
      </c>
      <c r="O484" s="1">
        <v>1</v>
      </c>
      <c r="P484" s="1" t="b">
        <v>1</v>
      </c>
      <c r="Q484" s="1" t="s">
        <v>29</v>
      </c>
      <c r="R484" s="1">
        <f t="shared" si="31"/>
        <v>0</v>
      </c>
      <c r="T484" s="1">
        <f t="shared" si="29"/>
        <v>0</v>
      </c>
      <c r="U484" s="1">
        <f t="shared" si="30"/>
        <v>0</v>
      </c>
    </row>
    <row r="485" spans="1:21" x14ac:dyDescent="0.25">
      <c r="A485" s="1" t="s">
        <v>1046</v>
      </c>
      <c r="B485" s="1" t="s">
        <v>1040</v>
      </c>
      <c r="C485" s="1" t="s">
        <v>31</v>
      </c>
      <c r="D485" s="2">
        <v>45711</v>
      </c>
      <c r="E485" s="2">
        <v>45787</v>
      </c>
      <c r="F485" s="2">
        <v>45711</v>
      </c>
      <c r="G485" s="2">
        <v>45787</v>
      </c>
      <c r="H485" s="1" t="s">
        <v>20</v>
      </c>
      <c r="I485" s="1">
        <v>100</v>
      </c>
      <c r="J485" s="1">
        <v>32703361</v>
      </c>
      <c r="L485" s="1" t="s">
        <v>1047</v>
      </c>
      <c r="M485" s="1" t="s">
        <v>1047</v>
      </c>
      <c r="N485" s="1" t="s">
        <v>22</v>
      </c>
      <c r="O485" s="1">
        <v>1</v>
      </c>
      <c r="P485" s="1" t="b">
        <v>1</v>
      </c>
      <c r="R485" s="1">
        <f t="shared" si="31"/>
        <v>0</v>
      </c>
      <c r="T485" s="1">
        <f t="shared" si="29"/>
        <v>0</v>
      </c>
      <c r="U485" s="1">
        <f t="shared" si="30"/>
        <v>0</v>
      </c>
    </row>
    <row r="486" spans="1:21" x14ac:dyDescent="0.25">
      <c r="A486" s="1" t="s">
        <v>1048</v>
      </c>
      <c r="B486" s="1" t="s">
        <v>1040</v>
      </c>
      <c r="C486" s="1" t="s">
        <v>34</v>
      </c>
      <c r="D486" s="2">
        <v>45787</v>
      </c>
      <c r="E486" s="2">
        <v>45914</v>
      </c>
      <c r="F486" s="2">
        <v>45787</v>
      </c>
      <c r="G486" s="2">
        <v>45914</v>
      </c>
      <c r="H486" s="1" t="s">
        <v>20</v>
      </c>
      <c r="I486" s="1">
        <v>100</v>
      </c>
      <c r="J486" s="1">
        <v>54505602</v>
      </c>
      <c r="L486" s="1" t="s">
        <v>1049</v>
      </c>
      <c r="M486" s="1" t="s">
        <v>1049</v>
      </c>
      <c r="N486" s="1" t="s">
        <v>22</v>
      </c>
      <c r="O486" s="1">
        <v>1</v>
      </c>
      <c r="P486" s="1" t="b">
        <v>1</v>
      </c>
      <c r="Q486" s="1" t="s">
        <v>29</v>
      </c>
      <c r="R486" s="1">
        <f t="shared" si="31"/>
        <v>0</v>
      </c>
      <c r="T486" s="1">
        <f t="shared" si="29"/>
        <v>0</v>
      </c>
      <c r="U486" s="1">
        <f t="shared" si="30"/>
        <v>0</v>
      </c>
    </row>
    <row r="487" spans="1:21" x14ac:dyDescent="0.25">
      <c r="A487" s="1" t="s">
        <v>1050</v>
      </c>
      <c r="B487" s="1" t="s">
        <v>1040</v>
      </c>
      <c r="C487" s="1" t="s">
        <v>37</v>
      </c>
      <c r="D487" s="2">
        <v>45914</v>
      </c>
      <c r="E487" s="2">
        <v>45965</v>
      </c>
      <c r="F487" s="2">
        <v>45914</v>
      </c>
      <c r="G487" s="2">
        <v>45965</v>
      </c>
      <c r="H487" s="1" t="s">
        <v>20</v>
      </c>
      <c r="I487" s="1">
        <v>100</v>
      </c>
      <c r="J487" s="1">
        <v>21802241</v>
      </c>
      <c r="L487" s="1" t="s">
        <v>1051</v>
      </c>
      <c r="M487" s="1" t="s">
        <v>1051</v>
      </c>
      <c r="N487" s="1" t="s">
        <v>22</v>
      </c>
      <c r="O487" s="1">
        <v>1</v>
      </c>
      <c r="P487" s="1" t="b">
        <v>1</v>
      </c>
      <c r="R487" s="1">
        <f t="shared" si="31"/>
        <v>0</v>
      </c>
      <c r="T487" s="1">
        <f t="shared" si="29"/>
        <v>0</v>
      </c>
      <c r="U487" s="1">
        <f t="shared" si="30"/>
        <v>0</v>
      </c>
    </row>
    <row r="488" spans="1:21" x14ac:dyDescent="0.25">
      <c r="A488" s="1" t="s">
        <v>1052</v>
      </c>
      <c r="B488" s="1" t="s">
        <v>1040</v>
      </c>
      <c r="C488" s="1" t="s">
        <v>41</v>
      </c>
      <c r="D488" s="2">
        <v>45965</v>
      </c>
      <c r="E488" s="2">
        <v>46005</v>
      </c>
      <c r="F488" s="2">
        <v>45965</v>
      </c>
      <c r="G488" s="2">
        <v>46005</v>
      </c>
      <c r="H488" s="1" t="s">
        <v>20</v>
      </c>
      <c r="I488" s="1">
        <v>100</v>
      </c>
      <c r="J488" s="1">
        <v>17441792</v>
      </c>
      <c r="L488" s="1" t="s">
        <v>1053</v>
      </c>
      <c r="M488" s="1" t="s">
        <v>1053</v>
      </c>
      <c r="N488" s="1" t="s">
        <v>22</v>
      </c>
      <c r="O488" s="1">
        <v>1</v>
      </c>
      <c r="P488" s="1" t="b">
        <v>1</v>
      </c>
      <c r="R488" s="1">
        <f t="shared" si="31"/>
        <v>0</v>
      </c>
      <c r="T488" s="1">
        <f t="shared" si="29"/>
        <v>0</v>
      </c>
      <c r="U488" s="1">
        <f t="shared" si="30"/>
        <v>0</v>
      </c>
    </row>
    <row r="489" spans="1:21" x14ac:dyDescent="0.25">
      <c r="A489" s="1" t="s">
        <v>1054</v>
      </c>
      <c r="B489" s="1" t="s">
        <v>1040</v>
      </c>
      <c r="C489" s="1" t="s">
        <v>45</v>
      </c>
      <c r="D489" s="2">
        <v>46005</v>
      </c>
      <c r="E489" s="2">
        <v>46056</v>
      </c>
      <c r="F489" s="2">
        <v>46005</v>
      </c>
      <c r="G489" s="2">
        <v>46056</v>
      </c>
      <c r="H489" s="1" t="s">
        <v>20</v>
      </c>
      <c r="I489" s="1">
        <v>100</v>
      </c>
      <c r="J489" s="1">
        <v>21802241</v>
      </c>
      <c r="L489" s="1" t="s">
        <v>1055</v>
      </c>
      <c r="M489" s="1" t="s">
        <v>1055</v>
      </c>
      <c r="N489" s="1" t="s">
        <v>22</v>
      </c>
      <c r="O489" s="1">
        <v>1</v>
      </c>
      <c r="P489" s="1" t="b">
        <v>1</v>
      </c>
      <c r="R489" s="1">
        <f t="shared" si="31"/>
        <v>0</v>
      </c>
      <c r="T489" s="1">
        <f t="shared" si="29"/>
        <v>0</v>
      </c>
      <c r="U489" s="1">
        <f t="shared" si="30"/>
        <v>0</v>
      </c>
    </row>
    <row r="490" spans="1:21" x14ac:dyDescent="0.25">
      <c r="A490" s="1" t="s">
        <v>1056</v>
      </c>
      <c r="B490" s="1" t="s">
        <v>1040</v>
      </c>
      <c r="C490" s="1" t="s">
        <v>48</v>
      </c>
      <c r="D490" s="2">
        <v>46056</v>
      </c>
      <c r="E490" s="2">
        <v>46071</v>
      </c>
      <c r="F490" s="2">
        <v>46056</v>
      </c>
      <c r="G490" s="2">
        <v>46071</v>
      </c>
      <c r="H490" s="1" t="s">
        <v>20</v>
      </c>
      <c r="I490" s="1">
        <v>100</v>
      </c>
      <c r="J490" s="1">
        <v>6540672</v>
      </c>
      <c r="L490" s="1" t="s">
        <v>1057</v>
      </c>
      <c r="M490" s="1" t="s">
        <v>1057</v>
      </c>
      <c r="N490" s="1" t="s">
        <v>22</v>
      </c>
      <c r="O490" s="1">
        <v>1</v>
      </c>
      <c r="P490" s="1" t="b">
        <v>1</v>
      </c>
      <c r="R490" s="1">
        <f t="shared" si="31"/>
        <v>0</v>
      </c>
      <c r="T490" s="1">
        <f t="shared" si="29"/>
        <v>0</v>
      </c>
      <c r="U490" s="1">
        <f t="shared" si="30"/>
        <v>0</v>
      </c>
    </row>
    <row r="491" spans="1:21" x14ac:dyDescent="0.25">
      <c r="A491" s="1" t="s">
        <v>1058</v>
      </c>
      <c r="B491" s="1" t="s">
        <v>1040</v>
      </c>
      <c r="C491" s="1" t="s">
        <v>51</v>
      </c>
      <c r="D491" s="2">
        <v>46071</v>
      </c>
      <c r="E491" s="2">
        <v>46081</v>
      </c>
      <c r="F491" s="2">
        <v>46071</v>
      </c>
      <c r="G491" s="2">
        <v>46081</v>
      </c>
      <c r="H491" s="1" t="s">
        <v>20</v>
      </c>
      <c r="I491" s="1">
        <v>100</v>
      </c>
      <c r="J491" s="1">
        <v>4360448</v>
      </c>
      <c r="L491" s="1" t="s">
        <v>1059</v>
      </c>
      <c r="M491" s="1" t="s">
        <v>1059</v>
      </c>
      <c r="N491" s="1" t="s">
        <v>22</v>
      </c>
      <c r="O491" s="1">
        <v>1</v>
      </c>
      <c r="P491" s="1" t="b">
        <v>1</v>
      </c>
      <c r="R491" s="1">
        <f t="shared" si="31"/>
        <v>0</v>
      </c>
      <c r="T491" s="1">
        <f t="shared" si="29"/>
        <v>0</v>
      </c>
      <c r="U491" s="1">
        <f t="shared" si="30"/>
        <v>0</v>
      </c>
    </row>
    <row r="492" spans="1:21" x14ac:dyDescent="0.25">
      <c r="A492" s="1" t="s">
        <v>1060</v>
      </c>
      <c r="B492" s="1" t="s">
        <v>1061</v>
      </c>
      <c r="C492" s="1" t="s">
        <v>19</v>
      </c>
      <c r="D492" s="2">
        <v>44773</v>
      </c>
      <c r="E492" s="2">
        <v>44804</v>
      </c>
      <c r="F492" s="2">
        <v>44773</v>
      </c>
      <c r="G492" s="2">
        <v>44804</v>
      </c>
      <c r="H492" s="1" t="s">
        <v>20</v>
      </c>
      <c r="I492" s="1">
        <v>100</v>
      </c>
      <c r="J492" s="1">
        <v>20004696</v>
      </c>
      <c r="L492" s="1" t="s">
        <v>1062</v>
      </c>
      <c r="M492" s="1" t="s">
        <v>1062</v>
      </c>
      <c r="N492" s="1" t="s">
        <v>22</v>
      </c>
      <c r="O492" s="1">
        <v>1</v>
      </c>
      <c r="P492" s="1" t="b">
        <v>1</v>
      </c>
      <c r="R492" s="1">
        <f t="shared" si="31"/>
        <v>0</v>
      </c>
      <c r="T492" s="1">
        <f t="shared" si="29"/>
        <v>0</v>
      </c>
      <c r="U492" s="1">
        <f t="shared" si="30"/>
        <v>0</v>
      </c>
    </row>
    <row r="493" spans="1:21" x14ac:dyDescent="0.25">
      <c r="A493" s="1" t="s">
        <v>1063</v>
      </c>
      <c r="B493" s="1" t="s">
        <v>1061</v>
      </c>
      <c r="C493" s="1" t="s">
        <v>24</v>
      </c>
      <c r="D493" s="2">
        <v>44804</v>
      </c>
      <c r="E493" s="2">
        <v>44867</v>
      </c>
      <c r="F493" s="2">
        <v>44804</v>
      </c>
      <c r="G493" s="2">
        <v>44867</v>
      </c>
      <c r="H493" s="1" t="s">
        <v>20</v>
      </c>
      <c r="I493" s="1">
        <v>100</v>
      </c>
      <c r="J493" s="1">
        <v>40009393</v>
      </c>
      <c r="L493" s="1" t="s">
        <v>1064</v>
      </c>
      <c r="M493" s="1" t="s">
        <v>1064</v>
      </c>
      <c r="N493" s="1" t="s">
        <v>22</v>
      </c>
      <c r="O493" s="1">
        <v>1</v>
      </c>
      <c r="P493" s="1" t="b">
        <v>1</v>
      </c>
      <c r="R493" s="1">
        <f t="shared" si="31"/>
        <v>0</v>
      </c>
      <c r="T493" s="1">
        <f t="shared" si="29"/>
        <v>0</v>
      </c>
      <c r="U493" s="1">
        <f t="shared" si="30"/>
        <v>0</v>
      </c>
    </row>
    <row r="494" spans="1:21" x14ac:dyDescent="0.25">
      <c r="A494" s="1" t="s">
        <v>1065</v>
      </c>
      <c r="B494" s="1" t="s">
        <v>1061</v>
      </c>
      <c r="C494" s="1" t="s">
        <v>27</v>
      </c>
      <c r="D494" s="2">
        <v>44867</v>
      </c>
      <c r="E494" s="2">
        <v>44942</v>
      </c>
      <c r="F494" s="2">
        <v>44867</v>
      </c>
      <c r="G494" s="2">
        <v>44942</v>
      </c>
      <c r="H494" s="1" t="s">
        <v>20</v>
      </c>
      <c r="I494" s="1">
        <v>100</v>
      </c>
      <c r="J494" s="1">
        <v>48011272</v>
      </c>
      <c r="L494" s="1" t="s">
        <v>1066</v>
      </c>
      <c r="M494" s="1" t="s">
        <v>1066</v>
      </c>
      <c r="N494" s="1" t="s">
        <v>22</v>
      </c>
      <c r="O494" s="1">
        <v>1</v>
      </c>
      <c r="P494" s="1" t="b">
        <v>1</v>
      </c>
      <c r="Q494" s="1" t="s">
        <v>29</v>
      </c>
      <c r="R494" s="1">
        <f t="shared" si="31"/>
        <v>0</v>
      </c>
      <c r="T494" s="1">
        <f t="shared" si="29"/>
        <v>0</v>
      </c>
      <c r="U494" s="1">
        <f t="shared" si="30"/>
        <v>0</v>
      </c>
    </row>
    <row r="495" spans="1:21" x14ac:dyDescent="0.25">
      <c r="A495" s="1" t="s">
        <v>1067</v>
      </c>
      <c r="B495" s="1" t="s">
        <v>1061</v>
      </c>
      <c r="C495" s="1" t="s">
        <v>31</v>
      </c>
      <c r="D495" s="2">
        <v>44942</v>
      </c>
      <c r="E495" s="2">
        <v>45036</v>
      </c>
      <c r="F495" s="2">
        <v>44942</v>
      </c>
      <c r="G495" s="2">
        <v>45036</v>
      </c>
      <c r="H495" s="1" t="s">
        <v>20</v>
      </c>
      <c r="I495" s="1">
        <v>100</v>
      </c>
      <c r="J495" s="1">
        <v>60014090</v>
      </c>
      <c r="L495" s="1" t="s">
        <v>1068</v>
      </c>
      <c r="M495" s="1" t="s">
        <v>1068</v>
      </c>
      <c r="N495" s="1" t="s">
        <v>22</v>
      </c>
      <c r="O495" s="1">
        <v>1</v>
      </c>
      <c r="P495" s="1" t="b">
        <v>1</v>
      </c>
      <c r="R495" s="1">
        <f t="shared" si="31"/>
        <v>0</v>
      </c>
      <c r="T495" s="1">
        <f t="shared" si="29"/>
        <v>0</v>
      </c>
      <c r="U495" s="1">
        <f t="shared" si="30"/>
        <v>0</v>
      </c>
    </row>
    <row r="496" spans="1:21" x14ac:dyDescent="0.25">
      <c r="A496" s="1" t="s">
        <v>1069</v>
      </c>
      <c r="B496" s="1" t="s">
        <v>1061</v>
      </c>
      <c r="C496" s="1" t="s">
        <v>34</v>
      </c>
      <c r="D496" s="2">
        <v>45036</v>
      </c>
      <c r="E496" s="2">
        <v>45193</v>
      </c>
      <c r="F496" s="2">
        <v>45036</v>
      </c>
      <c r="G496" s="2">
        <v>45193</v>
      </c>
      <c r="H496" s="1" t="s">
        <v>20</v>
      </c>
      <c r="I496" s="1">
        <v>100</v>
      </c>
      <c r="J496" s="1">
        <v>100023484</v>
      </c>
      <c r="L496" s="1" t="s">
        <v>1070</v>
      </c>
      <c r="M496" s="1" t="s">
        <v>1070</v>
      </c>
      <c r="N496" s="1" t="s">
        <v>22</v>
      </c>
      <c r="O496" s="1">
        <v>1</v>
      </c>
      <c r="P496" s="1" t="b">
        <v>1</v>
      </c>
      <c r="Q496" s="1" t="s">
        <v>29</v>
      </c>
      <c r="R496" s="1">
        <f t="shared" si="31"/>
        <v>0</v>
      </c>
      <c r="T496" s="1">
        <f t="shared" si="29"/>
        <v>0</v>
      </c>
      <c r="U496" s="1">
        <f t="shared" si="30"/>
        <v>0</v>
      </c>
    </row>
    <row r="497" spans="1:21" x14ac:dyDescent="0.25">
      <c r="A497" s="1" t="s">
        <v>1071</v>
      </c>
      <c r="B497" s="1" t="s">
        <v>1061</v>
      </c>
      <c r="C497" s="1" t="s">
        <v>37</v>
      </c>
      <c r="D497" s="2">
        <v>45193</v>
      </c>
      <c r="E497" s="2">
        <v>45256</v>
      </c>
      <c r="F497" s="2">
        <v>45193</v>
      </c>
      <c r="G497" s="2">
        <v>45256</v>
      </c>
      <c r="H497" s="1" t="s">
        <v>20</v>
      </c>
      <c r="I497" s="1">
        <v>100</v>
      </c>
      <c r="J497" s="1">
        <v>40009393</v>
      </c>
      <c r="L497" s="1" t="s">
        <v>1072</v>
      </c>
      <c r="M497" s="1" t="s">
        <v>1072</v>
      </c>
      <c r="N497" s="1" t="s">
        <v>22</v>
      </c>
      <c r="O497" s="1">
        <v>1</v>
      </c>
      <c r="P497" s="1" t="b">
        <v>1</v>
      </c>
      <c r="R497" s="1">
        <f t="shared" si="31"/>
        <v>0</v>
      </c>
      <c r="T497" s="1">
        <f t="shared" si="29"/>
        <v>0</v>
      </c>
      <c r="U497" s="1">
        <f t="shared" si="30"/>
        <v>0</v>
      </c>
    </row>
    <row r="498" spans="1:21" x14ac:dyDescent="0.25">
      <c r="A498" s="1" t="s">
        <v>1073</v>
      </c>
      <c r="B498" s="1" t="s">
        <v>1061</v>
      </c>
      <c r="C498" s="1" t="s">
        <v>41</v>
      </c>
      <c r="D498" s="2">
        <v>45256</v>
      </c>
      <c r="E498" s="2">
        <v>45306</v>
      </c>
      <c r="F498" s="2">
        <v>45256</v>
      </c>
      <c r="G498" s="2">
        <v>45306</v>
      </c>
      <c r="H498" s="1" t="s">
        <v>20</v>
      </c>
      <c r="I498" s="1">
        <v>100</v>
      </c>
      <c r="J498" s="1">
        <v>32007515</v>
      </c>
      <c r="L498" s="1" t="s">
        <v>1074</v>
      </c>
      <c r="M498" s="1" t="s">
        <v>1074</v>
      </c>
      <c r="N498" s="1" t="s">
        <v>22</v>
      </c>
      <c r="O498" s="1">
        <v>1</v>
      </c>
      <c r="P498" s="1" t="b">
        <v>1</v>
      </c>
      <c r="R498" s="1">
        <f t="shared" si="31"/>
        <v>0</v>
      </c>
      <c r="T498" s="1">
        <f t="shared" si="29"/>
        <v>0</v>
      </c>
      <c r="U498" s="1">
        <f t="shared" si="30"/>
        <v>0</v>
      </c>
    </row>
    <row r="499" spans="1:21" x14ac:dyDescent="0.25">
      <c r="A499" s="1" t="s">
        <v>1075</v>
      </c>
      <c r="B499" s="1" t="s">
        <v>1061</v>
      </c>
      <c r="C499" s="1" t="s">
        <v>45</v>
      </c>
      <c r="D499" s="2">
        <v>45306</v>
      </c>
      <c r="E499" s="2">
        <v>45369</v>
      </c>
      <c r="F499" s="2">
        <v>45306</v>
      </c>
      <c r="G499" s="2">
        <v>45369</v>
      </c>
      <c r="H499" s="1" t="s">
        <v>20</v>
      </c>
      <c r="I499" s="1">
        <v>100</v>
      </c>
      <c r="J499" s="1">
        <v>40009393</v>
      </c>
      <c r="L499" s="1" t="s">
        <v>1076</v>
      </c>
      <c r="M499" s="1" t="s">
        <v>1076</v>
      </c>
      <c r="N499" s="1" t="s">
        <v>22</v>
      </c>
      <c r="O499" s="1">
        <v>1</v>
      </c>
      <c r="P499" s="1" t="b">
        <v>1</v>
      </c>
      <c r="R499" s="1">
        <f t="shared" si="31"/>
        <v>0</v>
      </c>
      <c r="T499" s="1">
        <f t="shared" si="29"/>
        <v>0</v>
      </c>
      <c r="U499" s="1">
        <f t="shared" si="30"/>
        <v>0</v>
      </c>
    </row>
    <row r="500" spans="1:21" x14ac:dyDescent="0.25">
      <c r="A500" s="1" t="s">
        <v>1077</v>
      </c>
      <c r="B500" s="1" t="s">
        <v>1061</v>
      </c>
      <c r="C500" s="1" t="s">
        <v>48</v>
      </c>
      <c r="D500" s="2">
        <v>45369</v>
      </c>
      <c r="E500" s="2">
        <v>45387</v>
      </c>
      <c r="F500" s="2">
        <v>45369</v>
      </c>
      <c r="G500" s="2">
        <v>45387</v>
      </c>
      <c r="H500" s="1" t="s">
        <v>20</v>
      </c>
      <c r="I500" s="1">
        <v>100</v>
      </c>
      <c r="J500" s="1">
        <v>12002818</v>
      </c>
      <c r="L500" s="1" t="s">
        <v>1078</v>
      </c>
      <c r="M500" s="1" t="s">
        <v>1078</v>
      </c>
      <c r="N500" s="1" t="s">
        <v>22</v>
      </c>
      <c r="O500" s="1">
        <v>1</v>
      </c>
      <c r="P500" s="1" t="b">
        <v>1</v>
      </c>
      <c r="R500" s="1">
        <f t="shared" si="31"/>
        <v>0</v>
      </c>
      <c r="T500" s="1">
        <f t="shared" si="29"/>
        <v>0</v>
      </c>
      <c r="U500" s="1">
        <f t="shared" si="30"/>
        <v>0</v>
      </c>
    </row>
    <row r="501" spans="1:21" x14ac:dyDescent="0.25">
      <c r="A501" s="1" t="s">
        <v>1079</v>
      </c>
      <c r="B501" s="1" t="s">
        <v>1061</v>
      </c>
      <c r="C501" s="1" t="s">
        <v>51</v>
      </c>
      <c r="D501" s="2">
        <v>45387</v>
      </c>
      <c r="E501" s="2">
        <v>45399</v>
      </c>
      <c r="F501" s="2">
        <v>45387</v>
      </c>
      <c r="G501" s="2">
        <v>45399</v>
      </c>
      <c r="H501" s="1" t="s">
        <v>20</v>
      </c>
      <c r="I501" s="1">
        <v>100</v>
      </c>
      <c r="J501" s="1">
        <v>8001878</v>
      </c>
      <c r="L501" s="1" t="s">
        <v>1080</v>
      </c>
      <c r="M501" s="1" t="s">
        <v>1080</v>
      </c>
      <c r="N501" s="1" t="s">
        <v>22</v>
      </c>
      <c r="O501" s="1">
        <v>1</v>
      </c>
      <c r="P501" s="1" t="b">
        <v>1</v>
      </c>
      <c r="R501" s="1">
        <f t="shared" si="31"/>
        <v>0</v>
      </c>
      <c r="T501" s="1">
        <f t="shared" si="29"/>
        <v>0</v>
      </c>
      <c r="U501" s="1">
        <f t="shared" si="30"/>
        <v>0</v>
      </c>
    </row>
    <row r="502" spans="1:21" x14ac:dyDescent="0.25">
      <c r="A502" s="1" t="s">
        <v>1081</v>
      </c>
      <c r="B502" s="1" t="s">
        <v>1082</v>
      </c>
      <c r="C502" s="1" t="s">
        <v>19</v>
      </c>
      <c r="D502" s="2">
        <v>43987</v>
      </c>
      <c r="E502" s="2">
        <v>44039</v>
      </c>
      <c r="F502" s="2">
        <v>43987</v>
      </c>
      <c r="G502" s="2">
        <v>44039</v>
      </c>
      <c r="H502" s="1" t="s">
        <v>20</v>
      </c>
      <c r="I502" s="1">
        <v>100</v>
      </c>
      <c r="J502" s="1">
        <v>10667795</v>
      </c>
      <c r="L502" s="1" t="s">
        <v>1083</v>
      </c>
      <c r="M502" s="1" t="s">
        <v>1083</v>
      </c>
      <c r="N502" s="1" t="s">
        <v>22</v>
      </c>
      <c r="O502" s="1">
        <v>1</v>
      </c>
      <c r="P502" s="1" t="b">
        <v>1</v>
      </c>
      <c r="R502" s="1">
        <f t="shared" si="31"/>
        <v>0</v>
      </c>
      <c r="T502" s="1">
        <f t="shared" si="29"/>
        <v>0</v>
      </c>
      <c r="U502" s="1">
        <f t="shared" si="30"/>
        <v>0</v>
      </c>
    </row>
    <row r="503" spans="1:21" x14ac:dyDescent="0.25">
      <c r="A503" s="1" t="s">
        <v>1084</v>
      </c>
      <c r="B503" s="1" t="s">
        <v>1082</v>
      </c>
      <c r="C503" s="1" t="s">
        <v>24</v>
      </c>
      <c r="D503" s="2">
        <v>44039</v>
      </c>
      <c r="E503" s="2">
        <v>44144</v>
      </c>
      <c r="F503" s="2">
        <v>44039</v>
      </c>
      <c r="G503" s="2">
        <v>44144</v>
      </c>
      <c r="H503" s="1" t="s">
        <v>20</v>
      </c>
      <c r="I503" s="1">
        <v>100</v>
      </c>
      <c r="J503" s="1">
        <v>21335590</v>
      </c>
      <c r="L503" s="1" t="s">
        <v>1085</v>
      </c>
      <c r="M503" s="1" t="s">
        <v>1085</v>
      </c>
      <c r="N503" s="1" t="s">
        <v>22</v>
      </c>
      <c r="O503" s="1">
        <v>1</v>
      </c>
      <c r="P503" s="1" t="b">
        <v>1</v>
      </c>
      <c r="R503" s="1">
        <f t="shared" si="31"/>
        <v>0</v>
      </c>
      <c r="T503" s="1">
        <f t="shared" si="29"/>
        <v>0</v>
      </c>
      <c r="U503" s="1">
        <f t="shared" si="30"/>
        <v>0</v>
      </c>
    </row>
    <row r="504" spans="1:21" x14ac:dyDescent="0.25">
      <c r="A504" s="1" t="s">
        <v>1086</v>
      </c>
      <c r="B504" s="1" t="s">
        <v>1082</v>
      </c>
      <c r="C504" s="1" t="s">
        <v>27</v>
      </c>
      <c r="D504" s="2">
        <v>44144</v>
      </c>
      <c r="E504" s="2">
        <v>44270</v>
      </c>
      <c r="F504" s="2">
        <v>44144</v>
      </c>
      <c r="G504" s="2">
        <v>44270</v>
      </c>
      <c r="H504" s="1" t="s">
        <v>20</v>
      </c>
      <c r="I504" s="1">
        <v>100</v>
      </c>
      <c r="J504" s="1">
        <v>25602708</v>
      </c>
      <c r="L504" s="1" t="s">
        <v>1087</v>
      </c>
      <c r="M504" s="1" t="s">
        <v>1087</v>
      </c>
      <c r="N504" s="1" t="s">
        <v>22</v>
      </c>
      <c r="O504" s="1">
        <v>1</v>
      </c>
      <c r="P504" s="1" t="b">
        <v>1</v>
      </c>
      <c r="Q504" s="1" t="s">
        <v>29</v>
      </c>
      <c r="R504" s="1">
        <f t="shared" si="31"/>
        <v>0</v>
      </c>
      <c r="T504" s="1">
        <f t="shared" si="29"/>
        <v>0</v>
      </c>
      <c r="U504" s="1">
        <f t="shared" si="30"/>
        <v>0</v>
      </c>
    </row>
    <row r="505" spans="1:21" x14ac:dyDescent="0.25">
      <c r="A505" s="1" t="s">
        <v>1088</v>
      </c>
      <c r="B505" s="1" t="s">
        <v>1082</v>
      </c>
      <c r="C505" s="1" t="s">
        <v>31</v>
      </c>
      <c r="D505" s="2">
        <v>44270</v>
      </c>
      <c r="E505" s="2">
        <v>44427</v>
      </c>
      <c r="F505" s="2">
        <v>44270</v>
      </c>
      <c r="G505" s="2">
        <v>44427</v>
      </c>
      <c r="H505" s="1" t="s">
        <v>20</v>
      </c>
      <c r="I505" s="1">
        <v>100</v>
      </c>
      <c r="J505" s="1">
        <v>32003385</v>
      </c>
      <c r="L505" s="1" t="s">
        <v>1089</v>
      </c>
      <c r="M505" s="1" t="s">
        <v>1089</v>
      </c>
      <c r="N505" s="1" t="s">
        <v>22</v>
      </c>
      <c r="O505" s="1">
        <v>1</v>
      </c>
      <c r="P505" s="1" t="b">
        <v>1</v>
      </c>
      <c r="R505" s="1">
        <f t="shared" si="31"/>
        <v>0</v>
      </c>
      <c r="T505" s="1">
        <f t="shared" si="29"/>
        <v>0</v>
      </c>
      <c r="U505" s="1">
        <f t="shared" si="30"/>
        <v>0</v>
      </c>
    </row>
    <row r="506" spans="1:21" x14ac:dyDescent="0.25">
      <c r="A506" s="1" t="s">
        <v>1090</v>
      </c>
      <c r="B506" s="1" t="s">
        <v>1082</v>
      </c>
      <c r="C506" s="1" t="s">
        <v>34</v>
      </c>
      <c r="D506" s="2">
        <v>44427</v>
      </c>
      <c r="E506" s="2">
        <v>44689</v>
      </c>
      <c r="F506" s="2">
        <v>44427</v>
      </c>
      <c r="G506" s="2">
        <v>44689</v>
      </c>
      <c r="H506" s="1" t="s">
        <v>20</v>
      </c>
      <c r="I506" s="1">
        <v>100</v>
      </c>
      <c r="J506" s="1">
        <v>53338975</v>
      </c>
      <c r="L506" s="1" t="s">
        <v>1091</v>
      </c>
      <c r="M506" s="1" t="s">
        <v>1091</v>
      </c>
      <c r="N506" s="1" t="s">
        <v>22</v>
      </c>
      <c r="O506" s="1">
        <v>1</v>
      </c>
      <c r="P506" s="1" t="b">
        <v>1</v>
      </c>
      <c r="Q506" s="1" t="s">
        <v>29</v>
      </c>
      <c r="R506" s="1">
        <f t="shared" si="31"/>
        <v>0</v>
      </c>
      <c r="T506" s="1">
        <f t="shared" si="29"/>
        <v>0</v>
      </c>
      <c r="U506" s="1">
        <f t="shared" si="30"/>
        <v>0</v>
      </c>
    </row>
    <row r="507" spans="1:21" x14ac:dyDescent="0.25">
      <c r="A507" s="1" t="s">
        <v>1092</v>
      </c>
      <c r="B507" s="1" t="s">
        <v>1082</v>
      </c>
      <c r="C507" s="1" t="s">
        <v>37</v>
      </c>
      <c r="D507" s="2">
        <v>44689</v>
      </c>
      <c r="E507" s="2">
        <v>44794</v>
      </c>
      <c r="F507" s="2">
        <v>44689</v>
      </c>
      <c r="G507" s="2">
        <v>44794</v>
      </c>
      <c r="H507" s="1" t="s">
        <v>20</v>
      </c>
      <c r="I507" s="1">
        <v>100</v>
      </c>
      <c r="J507" s="1">
        <v>21335590</v>
      </c>
      <c r="L507" s="1" t="s">
        <v>1093</v>
      </c>
      <c r="M507" s="1" t="s">
        <v>1093</v>
      </c>
      <c r="N507" s="1" t="s">
        <v>22</v>
      </c>
      <c r="O507" s="1">
        <v>1</v>
      </c>
      <c r="P507" s="1" t="b">
        <v>1</v>
      </c>
      <c r="R507" s="1">
        <f t="shared" si="31"/>
        <v>0</v>
      </c>
      <c r="T507" s="1">
        <f t="shared" si="29"/>
        <v>0</v>
      </c>
      <c r="U507" s="1">
        <f t="shared" si="30"/>
        <v>0</v>
      </c>
    </row>
    <row r="508" spans="1:21" x14ac:dyDescent="0.25">
      <c r="A508" s="1" t="s">
        <v>1094</v>
      </c>
      <c r="B508" s="1" t="s">
        <v>1082</v>
      </c>
      <c r="C508" s="1" t="s">
        <v>41</v>
      </c>
      <c r="D508" s="2">
        <v>44794</v>
      </c>
      <c r="E508" s="2">
        <v>44878</v>
      </c>
      <c r="F508" s="2">
        <v>44794</v>
      </c>
      <c r="G508" s="2">
        <v>44878</v>
      </c>
      <c r="H508" s="1" t="s">
        <v>20</v>
      </c>
      <c r="I508" s="1">
        <v>100</v>
      </c>
      <c r="J508" s="1">
        <v>17068472</v>
      </c>
      <c r="L508" s="1" t="s">
        <v>1095</v>
      </c>
      <c r="M508" s="1" t="s">
        <v>1095</v>
      </c>
      <c r="N508" s="1" t="s">
        <v>22</v>
      </c>
      <c r="O508" s="1">
        <v>1</v>
      </c>
      <c r="P508" s="1" t="b">
        <v>1</v>
      </c>
      <c r="R508" s="1">
        <f t="shared" si="31"/>
        <v>0</v>
      </c>
      <c r="T508" s="1">
        <f t="shared" si="29"/>
        <v>0</v>
      </c>
      <c r="U508" s="1">
        <f t="shared" si="30"/>
        <v>0</v>
      </c>
    </row>
    <row r="509" spans="1:21" x14ac:dyDescent="0.25">
      <c r="A509" s="1" t="s">
        <v>1096</v>
      </c>
      <c r="B509" s="1" t="s">
        <v>1082</v>
      </c>
      <c r="C509" s="1" t="s">
        <v>45</v>
      </c>
      <c r="D509" s="2">
        <v>44878</v>
      </c>
      <c r="E509" s="2">
        <v>44983</v>
      </c>
      <c r="F509" s="2">
        <v>44878</v>
      </c>
      <c r="G509" s="2">
        <v>44983</v>
      </c>
      <c r="H509" s="1" t="s">
        <v>20</v>
      </c>
      <c r="I509" s="1">
        <v>100</v>
      </c>
      <c r="J509" s="1">
        <v>21335590</v>
      </c>
      <c r="L509" s="1" t="s">
        <v>1097</v>
      </c>
      <c r="M509" s="1" t="s">
        <v>1097</v>
      </c>
      <c r="N509" s="1" t="s">
        <v>22</v>
      </c>
      <c r="O509" s="1">
        <v>1</v>
      </c>
      <c r="P509" s="1" t="b">
        <v>1</v>
      </c>
      <c r="R509" s="1">
        <f t="shared" si="31"/>
        <v>0</v>
      </c>
      <c r="T509" s="1">
        <f t="shared" si="29"/>
        <v>0</v>
      </c>
      <c r="U509" s="1">
        <f t="shared" si="30"/>
        <v>0</v>
      </c>
    </row>
    <row r="510" spans="1:21" x14ac:dyDescent="0.25">
      <c r="A510" s="1" t="s">
        <v>1098</v>
      </c>
      <c r="B510" s="1" t="s">
        <v>1082</v>
      </c>
      <c r="C510" s="1" t="s">
        <v>48</v>
      </c>
      <c r="D510" s="2">
        <v>44983</v>
      </c>
      <c r="E510" s="2">
        <v>45014</v>
      </c>
      <c r="F510" s="2">
        <v>44983</v>
      </c>
      <c r="G510" s="2">
        <v>45014</v>
      </c>
      <c r="H510" s="1" t="s">
        <v>20</v>
      </c>
      <c r="I510" s="1">
        <v>100</v>
      </c>
      <c r="J510" s="1">
        <v>6400677</v>
      </c>
      <c r="L510" s="1" t="s">
        <v>1099</v>
      </c>
      <c r="M510" s="1" t="s">
        <v>1099</v>
      </c>
      <c r="N510" s="1" t="s">
        <v>22</v>
      </c>
      <c r="O510" s="1">
        <v>1</v>
      </c>
      <c r="P510" s="1" t="b">
        <v>1</v>
      </c>
      <c r="R510" s="1">
        <f t="shared" si="31"/>
        <v>0</v>
      </c>
      <c r="T510" s="1">
        <f t="shared" si="29"/>
        <v>0</v>
      </c>
      <c r="U510" s="1">
        <f t="shared" si="30"/>
        <v>0</v>
      </c>
    </row>
    <row r="511" spans="1:21" x14ac:dyDescent="0.25">
      <c r="A511" s="1" t="s">
        <v>1100</v>
      </c>
      <c r="B511" s="1" t="s">
        <v>1082</v>
      </c>
      <c r="C511" s="1" t="s">
        <v>51</v>
      </c>
      <c r="D511" s="2">
        <v>45014</v>
      </c>
      <c r="E511" s="2">
        <v>45035</v>
      </c>
      <c r="F511" s="2">
        <v>45014</v>
      </c>
      <c r="G511" s="2">
        <v>45035</v>
      </c>
      <c r="H511" s="1" t="s">
        <v>20</v>
      </c>
      <c r="I511" s="1">
        <v>100</v>
      </c>
      <c r="J511" s="1">
        <v>4267118</v>
      </c>
      <c r="L511" s="1" t="s">
        <v>1101</v>
      </c>
      <c r="M511" s="1" t="s">
        <v>1101</v>
      </c>
      <c r="N511" s="1" t="s">
        <v>22</v>
      </c>
      <c r="O511" s="1">
        <v>1</v>
      </c>
      <c r="P511" s="1" t="b">
        <v>1</v>
      </c>
      <c r="R511" s="1">
        <f t="shared" si="31"/>
        <v>0</v>
      </c>
      <c r="T511" s="1">
        <f t="shared" si="29"/>
        <v>0</v>
      </c>
      <c r="U511" s="1">
        <f t="shared" si="30"/>
        <v>0</v>
      </c>
    </row>
    <row r="512" spans="1:21" x14ac:dyDescent="0.25">
      <c r="A512" s="1" t="s">
        <v>1102</v>
      </c>
      <c r="B512" s="1" t="s">
        <v>1103</v>
      </c>
      <c r="C512" s="1" t="s">
        <v>19</v>
      </c>
      <c r="D512" s="2">
        <v>45616</v>
      </c>
      <c r="E512" s="2">
        <v>45688</v>
      </c>
      <c r="F512" s="2">
        <v>45616</v>
      </c>
      <c r="G512" s="2">
        <v>45688</v>
      </c>
      <c r="H512" s="1" t="s">
        <v>20</v>
      </c>
      <c r="I512" s="1">
        <v>100</v>
      </c>
      <c r="J512" s="1">
        <v>4916745</v>
      </c>
      <c r="L512" s="1" t="s">
        <v>1104</v>
      </c>
      <c r="M512" s="1" t="s">
        <v>1104</v>
      </c>
      <c r="N512" s="1" t="s">
        <v>22</v>
      </c>
      <c r="O512" s="1">
        <v>1</v>
      </c>
      <c r="P512" s="1" t="b">
        <v>1</v>
      </c>
      <c r="R512" s="1">
        <f t="shared" si="31"/>
        <v>0</v>
      </c>
      <c r="T512" s="1">
        <f t="shared" si="29"/>
        <v>0</v>
      </c>
      <c r="U512" s="1">
        <f t="shared" si="30"/>
        <v>0</v>
      </c>
    </row>
    <row r="513" spans="1:21" x14ac:dyDescent="0.25">
      <c r="A513" s="1" t="s">
        <v>1105</v>
      </c>
      <c r="B513" s="1" t="s">
        <v>1103</v>
      </c>
      <c r="C513" s="1" t="s">
        <v>24</v>
      </c>
      <c r="D513" s="2">
        <v>45688</v>
      </c>
      <c r="E513" s="2">
        <v>45832</v>
      </c>
      <c r="F513" s="2">
        <v>45688</v>
      </c>
      <c r="G513" s="2">
        <v>45832</v>
      </c>
      <c r="H513" s="1" t="s">
        <v>20</v>
      </c>
      <c r="I513" s="1">
        <v>100</v>
      </c>
      <c r="J513" s="1">
        <v>9833491</v>
      </c>
      <c r="L513" s="1" t="s">
        <v>1106</v>
      </c>
      <c r="M513" s="1" t="s">
        <v>1106</v>
      </c>
      <c r="N513" s="1" t="s">
        <v>22</v>
      </c>
      <c r="O513" s="1">
        <v>1</v>
      </c>
      <c r="P513" s="1" t="b">
        <v>1</v>
      </c>
      <c r="R513" s="1">
        <f t="shared" si="31"/>
        <v>0</v>
      </c>
      <c r="T513" s="1">
        <f t="shared" si="29"/>
        <v>0</v>
      </c>
      <c r="U513" s="1">
        <f t="shared" si="30"/>
        <v>0</v>
      </c>
    </row>
    <row r="514" spans="1:21" x14ac:dyDescent="0.25">
      <c r="A514" s="1" t="s">
        <v>1107</v>
      </c>
      <c r="B514" s="1" t="s">
        <v>1103</v>
      </c>
      <c r="C514" s="1" t="s">
        <v>27</v>
      </c>
      <c r="D514" s="2">
        <v>45832</v>
      </c>
      <c r="E514" s="2">
        <v>46004</v>
      </c>
      <c r="F514" s="2">
        <v>45832</v>
      </c>
      <c r="G514" s="2">
        <v>46004</v>
      </c>
      <c r="H514" s="1" t="s">
        <v>20</v>
      </c>
      <c r="I514" s="1">
        <v>100</v>
      </c>
      <c r="J514" s="1">
        <v>11800189</v>
      </c>
      <c r="L514" s="1" t="s">
        <v>1108</v>
      </c>
      <c r="M514" s="1" t="s">
        <v>1108</v>
      </c>
      <c r="N514" s="1" t="s">
        <v>22</v>
      </c>
      <c r="O514" s="1">
        <v>1</v>
      </c>
      <c r="P514" s="1" t="b">
        <v>1</v>
      </c>
      <c r="Q514" s="1" t="s">
        <v>29</v>
      </c>
      <c r="R514" s="1">
        <f t="shared" si="31"/>
        <v>0</v>
      </c>
      <c r="T514" s="1">
        <f t="shared" si="29"/>
        <v>0</v>
      </c>
      <c r="U514" s="1">
        <f t="shared" si="30"/>
        <v>0</v>
      </c>
    </row>
    <row r="515" spans="1:21" x14ac:dyDescent="0.25">
      <c r="A515" s="1" t="s">
        <v>1109</v>
      </c>
      <c r="B515" s="1" t="s">
        <v>1103</v>
      </c>
      <c r="C515" s="1" t="s">
        <v>31</v>
      </c>
      <c r="D515" s="2">
        <v>46004</v>
      </c>
      <c r="E515" s="2">
        <v>46220</v>
      </c>
      <c r="F515" s="2">
        <v>46004</v>
      </c>
      <c r="H515" s="1" t="s">
        <v>38</v>
      </c>
      <c r="I515" s="1">
        <v>75</v>
      </c>
      <c r="J515" s="1">
        <v>14750236</v>
      </c>
      <c r="L515" s="1" t="s">
        <v>1110</v>
      </c>
      <c r="M515" s="1" t="s">
        <v>1110</v>
      </c>
      <c r="N515" s="1" t="s">
        <v>22</v>
      </c>
      <c r="O515" s="1">
        <v>1</v>
      </c>
      <c r="P515" s="1" t="b">
        <v>1</v>
      </c>
      <c r="S515" s="1">
        <f t="shared" ref="S515:S521" si="32">R$7-E515</f>
        <v>74</v>
      </c>
      <c r="T515" s="1">
        <f t="shared" ref="T515:T578" si="33">IF(S515&gt;0,1,0)</f>
        <v>1</v>
      </c>
      <c r="U515" s="1">
        <f t="shared" ref="U515:U578" si="34">IF(S515&gt;0,S515,0)</f>
        <v>74</v>
      </c>
    </row>
    <row r="516" spans="1:21" x14ac:dyDescent="0.25">
      <c r="A516" s="1" t="s">
        <v>1111</v>
      </c>
      <c r="B516" s="1" t="s">
        <v>1103</v>
      </c>
      <c r="C516" s="1" t="s">
        <v>34</v>
      </c>
      <c r="D516" s="2">
        <v>46220</v>
      </c>
      <c r="E516" s="2">
        <v>46580</v>
      </c>
      <c r="H516" s="1" t="s">
        <v>42</v>
      </c>
      <c r="I516" s="1">
        <v>0</v>
      </c>
      <c r="J516" s="1">
        <v>24583727</v>
      </c>
      <c r="L516" s="1" t="s">
        <v>1112</v>
      </c>
      <c r="M516" s="1" t="s">
        <v>1112</v>
      </c>
      <c r="N516" s="1" t="s">
        <v>22</v>
      </c>
      <c r="O516" s="1">
        <v>1</v>
      </c>
      <c r="P516" s="1" t="b">
        <v>1</v>
      </c>
      <c r="Q516" s="1" t="s">
        <v>29</v>
      </c>
      <c r="S516" s="1">
        <f t="shared" si="32"/>
        <v>-286</v>
      </c>
      <c r="T516" s="1">
        <f t="shared" si="33"/>
        <v>0</v>
      </c>
      <c r="U516" s="1">
        <f t="shared" si="34"/>
        <v>0</v>
      </c>
    </row>
    <row r="517" spans="1:21" x14ac:dyDescent="0.25">
      <c r="A517" s="1" t="s">
        <v>1113</v>
      </c>
      <c r="B517" s="1" t="s">
        <v>1103</v>
      </c>
      <c r="C517" s="1" t="s">
        <v>37</v>
      </c>
      <c r="D517" s="2">
        <v>46580</v>
      </c>
      <c r="E517" s="2">
        <v>46724</v>
      </c>
      <c r="H517" s="1" t="s">
        <v>42</v>
      </c>
      <c r="I517" s="1">
        <v>0</v>
      </c>
      <c r="J517" s="1">
        <v>9833491</v>
      </c>
      <c r="L517" s="1" t="s">
        <v>1114</v>
      </c>
      <c r="M517" s="1" t="s">
        <v>1114</v>
      </c>
      <c r="N517" s="1" t="s">
        <v>22</v>
      </c>
      <c r="O517" s="1">
        <v>1</v>
      </c>
      <c r="P517" s="1" t="b">
        <v>1</v>
      </c>
      <c r="S517" s="1">
        <f t="shared" si="32"/>
        <v>-430</v>
      </c>
      <c r="T517" s="1">
        <f t="shared" si="33"/>
        <v>0</v>
      </c>
      <c r="U517" s="1">
        <f t="shared" si="34"/>
        <v>0</v>
      </c>
    </row>
    <row r="518" spans="1:21" x14ac:dyDescent="0.25">
      <c r="A518" s="1" t="s">
        <v>1115</v>
      </c>
      <c r="B518" s="1" t="s">
        <v>1103</v>
      </c>
      <c r="C518" s="1" t="s">
        <v>41</v>
      </c>
      <c r="D518" s="2">
        <v>46724</v>
      </c>
      <c r="E518" s="2">
        <v>46839</v>
      </c>
      <c r="H518" s="1" t="s">
        <v>42</v>
      </c>
      <c r="I518" s="1">
        <v>0</v>
      </c>
      <c r="J518" s="1">
        <v>7866792</v>
      </c>
      <c r="L518" s="1" t="s">
        <v>1116</v>
      </c>
      <c r="M518" s="1" t="s">
        <v>1116</v>
      </c>
      <c r="N518" s="1" t="s">
        <v>22</v>
      </c>
      <c r="O518" s="1">
        <v>1</v>
      </c>
      <c r="P518" s="1" t="b">
        <v>1</v>
      </c>
      <c r="S518" s="1">
        <f t="shared" si="32"/>
        <v>-545</v>
      </c>
      <c r="T518" s="1">
        <f t="shared" si="33"/>
        <v>0</v>
      </c>
      <c r="U518" s="1">
        <f t="shared" si="34"/>
        <v>0</v>
      </c>
    </row>
    <row r="519" spans="1:21" x14ac:dyDescent="0.25">
      <c r="A519" s="1" t="s">
        <v>1117</v>
      </c>
      <c r="B519" s="1" t="s">
        <v>1103</v>
      </c>
      <c r="C519" s="1" t="s">
        <v>45</v>
      </c>
      <c r="D519" s="2">
        <v>46839</v>
      </c>
      <c r="E519" s="2">
        <v>46983</v>
      </c>
      <c r="H519" s="1" t="s">
        <v>42</v>
      </c>
      <c r="I519" s="1">
        <v>0</v>
      </c>
      <c r="J519" s="1">
        <v>9833491</v>
      </c>
      <c r="L519" s="1" t="s">
        <v>1118</v>
      </c>
      <c r="M519" s="1" t="s">
        <v>1118</v>
      </c>
      <c r="N519" s="1" t="s">
        <v>22</v>
      </c>
      <c r="O519" s="1">
        <v>1</v>
      </c>
      <c r="P519" s="1" t="b">
        <v>1</v>
      </c>
      <c r="S519" s="1">
        <f t="shared" si="32"/>
        <v>-689</v>
      </c>
      <c r="T519" s="1">
        <f t="shared" si="33"/>
        <v>0</v>
      </c>
      <c r="U519" s="1">
        <f t="shared" si="34"/>
        <v>0</v>
      </c>
    </row>
    <row r="520" spans="1:21" x14ac:dyDescent="0.25">
      <c r="A520" s="1" t="s">
        <v>1119</v>
      </c>
      <c r="B520" s="1" t="s">
        <v>1103</v>
      </c>
      <c r="C520" s="1" t="s">
        <v>48</v>
      </c>
      <c r="D520" s="2">
        <v>46983</v>
      </c>
      <c r="E520" s="2">
        <v>47026</v>
      </c>
      <c r="H520" s="1" t="s">
        <v>42</v>
      </c>
      <c r="I520" s="1">
        <v>0</v>
      </c>
      <c r="J520" s="1">
        <v>2950047</v>
      </c>
      <c r="L520" s="1" t="s">
        <v>1120</v>
      </c>
      <c r="M520" s="1" t="s">
        <v>1120</v>
      </c>
      <c r="N520" s="1" t="s">
        <v>22</v>
      </c>
      <c r="O520" s="1">
        <v>1</v>
      </c>
      <c r="P520" s="1" t="b">
        <v>1</v>
      </c>
      <c r="S520" s="1">
        <f t="shared" si="32"/>
        <v>-732</v>
      </c>
      <c r="T520" s="1">
        <f t="shared" si="33"/>
        <v>0</v>
      </c>
      <c r="U520" s="1">
        <f t="shared" si="34"/>
        <v>0</v>
      </c>
    </row>
    <row r="521" spans="1:21" x14ac:dyDescent="0.25">
      <c r="A521" s="1" t="s">
        <v>1121</v>
      </c>
      <c r="B521" s="1" t="s">
        <v>1103</v>
      </c>
      <c r="C521" s="1" t="s">
        <v>51</v>
      </c>
      <c r="D521" s="2">
        <v>47026</v>
      </c>
      <c r="E521" s="2">
        <v>47054</v>
      </c>
      <c r="H521" s="1" t="s">
        <v>42</v>
      </c>
      <c r="I521" s="1">
        <v>0</v>
      </c>
      <c r="J521" s="1">
        <v>1966698</v>
      </c>
      <c r="L521" s="1" t="s">
        <v>1122</v>
      </c>
      <c r="M521" s="1" t="s">
        <v>1122</v>
      </c>
      <c r="N521" s="1" t="s">
        <v>22</v>
      </c>
      <c r="O521" s="1">
        <v>1</v>
      </c>
      <c r="P521" s="1" t="b">
        <v>1</v>
      </c>
      <c r="S521" s="1">
        <f t="shared" si="32"/>
        <v>-760</v>
      </c>
      <c r="T521" s="1">
        <f t="shared" si="33"/>
        <v>0</v>
      </c>
      <c r="U521" s="1">
        <f t="shared" si="34"/>
        <v>0</v>
      </c>
    </row>
    <row r="522" spans="1:21" x14ac:dyDescent="0.25">
      <c r="A522" s="1" t="s">
        <v>1123</v>
      </c>
      <c r="B522" s="1" t="s">
        <v>1124</v>
      </c>
      <c r="C522" s="1" t="s">
        <v>19</v>
      </c>
      <c r="D522" s="2">
        <v>45243</v>
      </c>
      <c r="E522" s="2">
        <v>45306</v>
      </c>
      <c r="F522" s="2">
        <v>45243</v>
      </c>
      <c r="G522" s="2">
        <v>45306</v>
      </c>
      <c r="H522" s="1" t="s">
        <v>20</v>
      </c>
      <c r="I522" s="1">
        <v>100</v>
      </c>
      <c r="J522" s="1">
        <v>24064840</v>
      </c>
      <c r="L522" s="1" t="s">
        <v>1125</v>
      </c>
      <c r="M522" s="1" t="s">
        <v>1125</v>
      </c>
      <c r="N522" s="1" t="s">
        <v>22</v>
      </c>
      <c r="O522" s="1">
        <v>1</v>
      </c>
      <c r="P522" s="1" t="b">
        <v>1</v>
      </c>
      <c r="R522" s="1">
        <f>G522-E522</f>
        <v>0</v>
      </c>
      <c r="T522" s="1">
        <f t="shared" si="33"/>
        <v>0</v>
      </c>
      <c r="U522" s="1">
        <f t="shared" si="34"/>
        <v>0</v>
      </c>
    </row>
    <row r="523" spans="1:21" x14ac:dyDescent="0.25">
      <c r="A523" s="1" t="s">
        <v>1126</v>
      </c>
      <c r="B523" s="1" t="s">
        <v>1124</v>
      </c>
      <c r="C523" s="1" t="s">
        <v>24</v>
      </c>
      <c r="D523" s="2">
        <v>45306</v>
      </c>
      <c r="E523" s="2">
        <v>45432</v>
      </c>
      <c r="F523" s="2">
        <v>45306</v>
      </c>
      <c r="G523" s="2">
        <v>45432</v>
      </c>
      <c r="H523" s="1" t="s">
        <v>20</v>
      </c>
      <c r="I523" s="1">
        <v>100</v>
      </c>
      <c r="J523" s="1">
        <v>48129680</v>
      </c>
      <c r="L523" s="1" t="s">
        <v>1127</v>
      </c>
      <c r="M523" s="1" t="s">
        <v>1127</v>
      </c>
      <c r="N523" s="1" t="s">
        <v>22</v>
      </c>
      <c r="O523" s="1">
        <v>1</v>
      </c>
      <c r="P523" s="1" t="b">
        <v>1</v>
      </c>
      <c r="R523" s="1">
        <f>G523-E523</f>
        <v>0</v>
      </c>
      <c r="T523" s="1">
        <f t="shared" si="33"/>
        <v>0</v>
      </c>
      <c r="U523" s="1">
        <f t="shared" si="34"/>
        <v>0</v>
      </c>
    </row>
    <row r="524" spans="1:21" x14ac:dyDescent="0.25">
      <c r="A524" s="1" t="s">
        <v>1128</v>
      </c>
      <c r="B524" s="1" t="s">
        <v>1124</v>
      </c>
      <c r="C524" s="1" t="s">
        <v>27</v>
      </c>
      <c r="D524" s="2">
        <v>45432</v>
      </c>
      <c r="E524" s="2">
        <v>45583</v>
      </c>
      <c r="F524" s="2">
        <v>45432</v>
      </c>
      <c r="G524" s="2">
        <v>45583</v>
      </c>
      <c r="H524" s="1" t="s">
        <v>20</v>
      </c>
      <c r="I524" s="1">
        <v>100</v>
      </c>
      <c r="J524" s="1">
        <v>57755616</v>
      </c>
      <c r="L524" s="1" t="s">
        <v>1129</v>
      </c>
      <c r="M524" s="1" t="s">
        <v>1129</v>
      </c>
      <c r="N524" s="1" t="s">
        <v>22</v>
      </c>
      <c r="O524" s="1">
        <v>1</v>
      </c>
      <c r="P524" s="1" t="b">
        <v>1</v>
      </c>
      <c r="Q524" s="1" t="s">
        <v>29</v>
      </c>
      <c r="R524" s="1">
        <f>G524-E524</f>
        <v>0</v>
      </c>
      <c r="T524" s="1">
        <f t="shared" si="33"/>
        <v>0</v>
      </c>
      <c r="U524" s="1">
        <f t="shared" si="34"/>
        <v>0</v>
      </c>
    </row>
    <row r="525" spans="1:21" x14ac:dyDescent="0.25">
      <c r="A525" s="1" t="s">
        <v>1130</v>
      </c>
      <c r="B525" s="1" t="s">
        <v>1124</v>
      </c>
      <c r="C525" s="1" t="s">
        <v>31</v>
      </c>
      <c r="D525" s="2">
        <v>45583</v>
      </c>
      <c r="E525" s="2">
        <v>45772</v>
      </c>
      <c r="F525" s="2">
        <v>45583</v>
      </c>
      <c r="G525" s="2">
        <v>45772</v>
      </c>
      <c r="H525" s="1" t="s">
        <v>20</v>
      </c>
      <c r="I525" s="1">
        <v>100</v>
      </c>
      <c r="J525" s="1">
        <v>72194521</v>
      </c>
      <c r="L525" s="1" t="s">
        <v>1131</v>
      </c>
      <c r="M525" s="1" t="s">
        <v>1131</v>
      </c>
      <c r="N525" s="1" t="s">
        <v>22</v>
      </c>
      <c r="O525" s="1">
        <v>1</v>
      </c>
      <c r="P525" s="1" t="b">
        <v>1</v>
      </c>
      <c r="R525" s="1">
        <f>G525-E525</f>
        <v>0</v>
      </c>
      <c r="T525" s="1">
        <f t="shared" si="33"/>
        <v>0</v>
      </c>
      <c r="U525" s="1">
        <f t="shared" si="34"/>
        <v>0</v>
      </c>
    </row>
    <row r="526" spans="1:21" x14ac:dyDescent="0.25">
      <c r="A526" s="1" t="s">
        <v>1132</v>
      </c>
      <c r="B526" s="1" t="s">
        <v>1124</v>
      </c>
      <c r="C526" s="1" t="s">
        <v>34</v>
      </c>
      <c r="D526" s="2">
        <v>45772</v>
      </c>
      <c r="E526" s="2">
        <v>46087</v>
      </c>
      <c r="F526" s="2">
        <v>45772</v>
      </c>
      <c r="H526" s="1" t="s">
        <v>38</v>
      </c>
      <c r="I526" s="1">
        <v>49</v>
      </c>
      <c r="J526" s="1">
        <v>120324202</v>
      </c>
      <c r="L526" s="1" t="s">
        <v>1133</v>
      </c>
      <c r="M526" s="1" t="s">
        <v>1133</v>
      </c>
      <c r="N526" s="1" t="s">
        <v>22</v>
      </c>
      <c r="O526" s="1">
        <v>1</v>
      </c>
      <c r="P526" s="1" t="b">
        <v>1</v>
      </c>
      <c r="Q526" s="1" t="s">
        <v>29</v>
      </c>
      <c r="S526" s="1">
        <f t="shared" ref="S526:S531" si="35">R$7-E526</f>
        <v>207</v>
      </c>
      <c r="T526" s="1">
        <f t="shared" si="33"/>
        <v>1</v>
      </c>
      <c r="U526" s="1">
        <f t="shared" si="34"/>
        <v>207</v>
      </c>
    </row>
    <row r="527" spans="1:21" x14ac:dyDescent="0.25">
      <c r="A527" s="1" t="s">
        <v>1134</v>
      </c>
      <c r="B527" s="1" t="s">
        <v>1124</v>
      </c>
      <c r="C527" s="1" t="s">
        <v>37</v>
      </c>
      <c r="D527" s="2">
        <v>46087</v>
      </c>
      <c r="E527" s="2">
        <v>46213</v>
      </c>
      <c r="H527" s="1" t="s">
        <v>42</v>
      </c>
      <c r="I527" s="1">
        <v>0</v>
      </c>
      <c r="J527" s="1">
        <v>48129680</v>
      </c>
      <c r="L527" s="1" t="s">
        <v>1135</v>
      </c>
      <c r="M527" s="1" t="s">
        <v>1135</v>
      </c>
      <c r="N527" s="1" t="s">
        <v>22</v>
      </c>
      <c r="O527" s="1">
        <v>1</v>
      </c>
      <c r="P527" s="1" t="b">
        <v>1</v>
      </c>
      <c r="S527" s="1">
        <f t="shared" si="35"/>
        <v>81</v>
      </c>
      <c r="T527" s="1">
        <f t="shared" si="33"/>
        <v>1</v>
      </c>
      <c r="U527" s="1">
        <f t="shared" si="34"/>
        <v>81</v>
      </c>
    </row>
    <row r="528" spans="1:21" x14ac:dyDescent="0.25">
      <c r="A528" s="1" t="s">
        <v>1136</v>
      </c>
      <c r="B528" s="1" t="s">
        <v>1124</v>
      </c>
      <c r="C528" s="1" t="s">
        <v>41</v>
      </c>
      <c r="D528" s="2">
        <v>46213</v>
      </c>
      <c r="E528" s="2">
        <v>46313</v>
      </c>
      <c r="H528" s="1" t="s">
        <v>42</v>
      </c>
      <c r="I528" s="1">
        <v>0</v>
      </c>
      <c r="J528" s="1">
        <v>38503744</v>
      </c>
      <c r="L528" s="1" t="s">
        <v>1137</v>
      </c>
      <c r="M528" s="1" t="s">
        <v>1137</v>
      </c>
      <c r="N528" s="1" t="s">
        <v>22</v>
      </c>
      <c r="O528" s="1">
        <v>1</v>
      </c>
      <c r="P528" s="1" t="b">
        <v>1</v>
      </c>
      <c r="S528" s="1">
        <f t="shared" si="35"/>
        <v>-19</v>
      </c>
      <c r="T528" s="1">
        <f t="shared" si="33"/>
        <v>0</v>
      </c>
      <c r="U528" s="1">
        <f t="shared" si="34"/>
        <v>0</v>
      </c>
    </row>
    <row r="529" spans="1:21" x14ac:dyDescent="0.25">
      <c r="A529" s="1" t="s">
        <v>1138</v>
      </c>
      <c r="B529" s="1" t="s">
        <v>1124</v>
      </c>
      <c r="C529" s="1" t="s">
        <v>45</v>
      </c>
      <c r="D529" s="2">
        <v>46313</v>
      </c>
      <c r="E529" s="2">
        <v>46439</v>
      </c>
      <c r="H529" s="1" t="s">
        <v>42</v>
      </c>
      <c r="I529" s="1">
        <v>0</v>
      </c>
      <c r="J529" s="1">
        <v>48129680</v>
      </c>
      <c r="L529" s="1" t="s">
        <v>1139</v>
      </c>
      <c r="M529" s="1" t="s">
        <v>1139</v>
      </c>
      <c r="N529" s="1" t="s">
        <v>22</v>
      </c>
      <c r="O529" s="1">
        <v>1</v>
      </c>
      <c r="P529" s="1" t="b">
        <v>1</v>
      </c>
      <c r="S529" s="1">
        <f t="shared" si="35"/>
        <v>-145</v>
      </c>
      <c r="T529" s="1">
        <f t="shared" si="33"/>
        <v>0</v>
      </c>
      <c r="U529" s="1">
        <f t="shared" si="34"/>
        <v>0</v>
      </c>
    </row>
    <row r="530" spans="1:21" x14ac:dyDescent="0.25">
      <c r="A530" s="1" t="s">
        <v>1140</v>
      </c>
      <c r="B530" s="1" t="s">
        <v>1124</v>
      </c>
      <c r="C530" s="1" t="s">
        <v>48</v>
      </c>
      <c r="D530" s="2">
        <v>46439</v>
      </c>
      <c r="E530" s="2">
        <v>46476</v>
      </c>
      <c r="H530" s="1" t="s">
        <v>42</v>
      </c>
      <c r="I530" s="1">
        <v>0</v>
      </c>
      <c r="J530" s="1">
        <v>14438904</v>
      </c>
      <c r="L530" s="1" t="s">
        <v>1141</v>
      </c>
      <c r="M530" s="1" t="s">
        <v>1141</v>
      </c>
      <c r="N530" s="1" t="s">
        <v>22</v>
      </c>
      <c r="O530" s="1">
        <v>1</v>
      </c>
      <c r="P530" s="1" t="b">
        <v>1</v>
      </c>
      <c r="S530" s="1">
        <f t="shared" si="35"/>
        <v>-182</v>
      </c>
      <c r="T530" s="1">
        <f t="shared" si="33"/>
        <v>0</v>
      </c>
      <c r="U530" s="1">
        <f t="shared" si="34"/>
        <v>0</v>
      </c>
    </row>
    <row r="531" spans="1:21" x14ac:dyDescent="0.25">
      <c r="A531" s="1" t="s">
        <v>1142</v>
      </c>
      <c r="B531" s="1" t="s">
        <v>1124</v>
      </c>
      <c r="C531" s="1" t="s">
        <v>51</v>
      </c>
      <c r="D531" s="2">
        <v>46476</v>
      </c>
      <c r="E531" s="2">
        <v>46501</v>
      </c>
      <c r="H531" s="1" t="s">
        <v>42</v>
      </c>
      <c r="I531" s="1">
        <v>0</v>
      </c>
      <c r="J531" s="1">
        <v>9625936</v>
      </c>
      <c r="L531" s="1" t="s">
        <v>1143</v>
      </c>
      <c r="M531" s="1" t="s">
        <v>1143</v>
      </c>
      <c r="N531" s="1" t="s">
        <v>22</v>
      </c>
      <c r="O531" s="1">
        <v>1</v>
      </c>
      <c r="P531" s="1" t="b">
        <v>1</v>
      </c>
      <c r="S531" s="1">
        <f t="shared" si="35"/>
        <v>-207</v>
      </c>
      <c r="T531" s="1">
        <f t="shared" si="33"/>
        <v>0</v>
      </c>
      <c r="U531" s="1">
        <f t="shared" si="34"/>
        <v>0</v>
      </c>
    </row>
    <row r="532" spans="1:21" x14ac:dyDescent="0.25">
      <c r="A532" s="1" t="s">
        <v>1144</v>
      </c>
      <c r="B532" s="1" t="s">
        <v>1145</v>
      </c>
      <c r="C532" s="1" t="s">
        <v>19</v>
      </c>
      <c r="D532" s="2">
        <v>44824</v>
      </c>
      <c r="E532" s="2">
        <v>44852</v>
      </c>
      <c r="F532" s="2">
        <v>44824</v>
      </c>
      <c r="G532" s="2">
        <v>44852</v>
      </c>
      <c r="H532" s="1" t="s">
        <v>20</v>
      </c>
      <c r="I532" s="1">
        <v>100</v>
      </c>
      <c r="J532" s="1">
        <v>17996526</v>
      </c>
      <c r="L532" s="1" t="s">
        <v>1146</v>
      </c>
      <c r="M532" s="1" t="s">
        <v>1146</v>
      </c>
      <c r="N532" s="1" t="s">
        <v>22</v>
      </c>
      <c r="O532" s="1">
        <v>1</v>
      </c>
      <c r="P532" s="1" t="b">
        <v>1</v>
      </c>
      <c r="R532" s="1">
        <f t="shared" ref="R532:R555" si="36">G532-E532</f>
        <v>0</v>
      </c>
      <c r="T532" s="1">
        <f t="shared" si="33"/>
        <v>0</v>
      </c>
      <c r="U532" s="1">
        <f t="shared" si="34"/>
        <v>0</v>
      </c>
    </row>
    <row r="533" spans="1:21" x14ac:dyDescent="0.25">
      <c r="A533" s="1" t="s">
        <v>1147</v>
      </c>
      <c r="B533" s="1" t="s">
        <v>1145</v>
      </c>
      <c r="C533" s="1" t="s">
        <v>24</v>
      </c>
      <c r="D533" s="2">
        <v>44852</v>
      </c>
      <c r="E533" s="2">
        <v>44909</v>
      </c>
      <c r="F533" s="2">
        <v>44852</v>
      </c>
      <c r="G533" s="2">
        <v>44909</v>
      </c>
      <c r="H533" s="1" t="s">
        <v>20</v>
      </c>
      <c r="I533" s="1">
        <v>100</v>
      </c>
      <c r="J533" s="1">
        <v>35993053</v>
      </c>
      <c r="L533" s="1" t="s">
        <v>1148</v>
      </c>
      <c r="M533" s="1" t="s">
        <v>1148</v>
      </c>
      <c r="N533" s="1" t="s">
        <v>22</v>
      </c>
      <c r="O533" s="1">
        <v>1</v>
      </c>
      <c r="P533" s="1" t="b">
        <v>1</v>
      </c>
      <c r="R533" s="1">
        <f t="shared" si="36"/>
        <v>0</v>
      </c>
      <c r="T533" s="1">
        <f t="shared" si="33"/>
        <v>0</v>
      </c>
      <c r="U533" s="1">
        <f t="shared" si="34"/>
        <v>0</v>
      </c>
    </row>
    <row r="534" spans="1:21" x14ac:dyDescent="0.25">
      <c r="A534" s="1" t="s">
        <v>1149</v>
      </c>
      <c r="B534" s="1" t="s">
        <v>1145</v>
      </c>
      <c r="C534" s="1" t="s">
        <v>27</v>
      </c>
      <c r="D534" s="2">
        <v>44909</v>
      </c>
      <c r="E534" s="2">
        <v>44977</v>
      </c>
      <c r="F534" s="2">
        <v>44909</v>
      </c>
      <c r="G534" s="2">
        <v>44977</v>
      </c>
      <c r="H534" s="1" t="s">
        <v>20</v>
      </c>
      <c r="I534" s="1">
        <v>100</v>
      </c>
      <c r="J534" s="1">
        <v>43191664</v>
      </c>
      <c r="L534" s="1" t="s">
        <v>1150</v>
      </c>
      <c r="M534" s="1" t="s">
        <v>1150</v>
      </c>
      <c r="N534" s="1" t="s">
        <v>22</v>
      </c>
      <c r="O534" s="1">
        <v>1</v>
      </c>
      <c r="P534" s="1" t="b">
        <v>1</v>
      </c>
      <c r="Q534" s="1" t="s">
        <v>29</v>
      </c>
      <c r="R534" s="1">
        <f t="shared" si="36"/>
        <v>0</v>
      </c>
      <c r="T534" s="1">
        <f t="shared" si="33"/>
        <v>0</v>
      </c>
      <c r="U534" s="1">
        <f t="shared" si="34"/>
        <v>0</v>
      </c>
    </row>
    <row r="535" spans="1:21" x14ac:dyDescent="0.25">
      <c r="A535" s="1" t="s">
        <v>1151</v>
      </c>
      <c r="B535" s="1" t="s">
        <v>1145</v>
      </c>
      <c r="C535" s="1" t="s">
        <v>31</v>
      </c>
      <c r="D535" s="2">
        <v>44977</v>
      </c>
      <c r="E535" s="2">
        <v>45062</v>
      </c>
      <c r="F535" s="2">
        <v>44977</v>
      </c>
      <c r="G535" s="2">
        <v>45062</v>
      </c>
      <c r="H535" s="1" t="s">
        <v>20</v>
      </c>
      <c r="I535" s="1">
        <v>100</v>
      </c>
      <c r="J535" s="1">
        <v>53989580</v>
      </c>
      <c r="L535" s="1" t="s">
        <v>1152</v>
      </c>
      <c r="M535" s="1" t="s">
        <v>1152</v>
      </c>
      <c r="N535" s="1" t="s">
        <v>22</v>
      </c>
      <c r="O535" s="1">
        <v>1</v>
      </c>
      <c r="P535" s="1" t="b">
        <v>1</v>
      </c>
      <c r="R535" s="1">
        <f t="shared" si="36"/>
        <v>0</v>
      </c>
      <c r="T535" s="1">
        <f t="shared" si="33"/>
        <v>0</v>
      </c>
      <c r="U535" s="1">
        <f t="shared" si="34"/>
        <v>0</v>
      </c>
    </row>
    <row r="536" spans="1:21" x14ac:dyDescent="0.25">
      <c r="A536" s="1" t="s">
        <v>1153</v>
      </c>
      <c r="B536" s="1" t="s">
        <v>1145</v>
      </c>
      <c r="C536" s="1" t="s">
        <v>34</v>
      </c>
      <c r="D536" s="2">
        <v>45062</v>
      </c>
      <c r="E536" s="2">
        <v>45204</v>
      </c>
      <c r="F536" s="2">
        <v>45062</v>
      </c>
      <c r="G536" s="2">
        <v>45204</v>
      </c>
      <c r="H536" s="1" t="s">
        <v>20</v>
      </c>
      <c r="I536" s="1">
        <v>100</v>
      </c>
      <c r="J536" s="1">
        <v>89982634</v>
      </c>
      <c r="L536" s="1" t="s">
        <v>1154</v>
      </c>
      <c r="M536" s="1" t="s">
        <v>1154</v>
      </c>
      <c r="N536" s="1" t="s">
        <v>22</v>
      </c>
      <c r="O536" s="1">
        <v>1</v>
      </c>
      <c r="P536" s="1" t="b">
        <v>1</v>
      </c>
      <c r="Q536" s="1" t="s">
        <v>29</v>
      </c>
      <c r="R536" s="1">
        <f t="shared" si="36"/>
        <v>0</v>
      </c>
      <c r="T536" s="1">
        <f t="shared" si="33"/>
        <v>0</v>
      </c>
      <c r="U536" s="1">
        <f t="shared" si="34"/>
        <v>0</v>
      </c>
    </row>
    <row r="537" spans="1:21" x14ac:dyDescent="0.25">
      <c r="A537" s="1" t="s">
        <v>1155</v>
      </c>
      <c r="B537" s="1" t="s">
        <v>1145</v>
      </c>
      <c r="C537" s="1" t="s">
        <v>37</v>
      </c>
      <c r="D537" s="2">
        <v>45204</v>
      </c>
      <c r="E537" s="2">
        <v>45261</v>
      </c>
      <c r="F537" s="2">
        <v>45204</v>
      </c>
      <c r="G537" s="2">
        <v>45261</v>
      </c>
      <c r="H537" s="1" t="s">
        <v>20</v>
      </c>
      <c r="I537" s="1">
        <v>100</v>
      </c>
      <c r="J537" s="1">
        <v>35993053</v>
      </c>
      <c r="L537" s="1" t="s">
        <v>1156</v>
      </c>
      <c r="M537" s="1" t="s">
        <v>1156</v>
      </c>
      <c r="N537" s="1" t="s">
        <v>22</v>
      </c>
      <c r="O537" s="1">
        <v>1</v>
      </c>
      <c r="P537" s="1" t="b">
        <v>1</v>
      </c>
      <c r="R537" s="1">
        <f t="shared" si="36"/>
        <v>0</v>
      </c>
      <c r="T537" s="1">
        <f t="shared" si="33"/>
        <v>0</v>
      </c>
      <c r="U537" s="1">
        <f t="shared" si="34"/>
        <v>0</v>
      </c>
    </row>
    <row r="538" spans="1:21" x14ac:dyDescent="0.25">
      <c r="A538" s="1" t="s">
        <v>1157</v>
      </c>
      <c r="B538" s="1" t="s">
        <v>1145</v>
      </c>
      <c r="C538" s="1" t="s">
        <v>41</v>
      </c>
      <c r="D538" s="2">
        <v>45261</v>
      </c>
      <c r="E538" s="2">
        <v>45306</v>
      </c>
      <c r="F538" s="2">
        <v>45261</v>
      </c>
      <c r="G538" s="2">
        <v>45306</v>
      </c>
      <c r="H538" s="1" t="s">
        <v>20</v>
      </c>
      <c r="I538" s="1">
        <v>100</v>
      </c>
      <c r="J538" s="1">
        <v>28794443</v>
      </c>
      <c r="L538" s="1" t="s">
        <v>1158</v>
      </c>
      <c r="M538" s="1" t="s">
        <v>1158</v>
      </c>
      <c r="N538" s="1" t="s">
        <v>22</v>
      </c>
      <c r="O538" s="1">
        <v>1</v>
      </c>
      <c r="P538" s="1" t="b">
        <v>1</v>
      </c>
      <c r="R538" s="1">
        <f t="shared" si="36"/>
        <v>0</v>
      </c>
      <c r="T538" s="1">
        <f t="shared" si="33"/>
        <v>0</v>
      </c>
      <c r="U538" s="1">
        <f t="shared" si="34"/>
        <v>0</v>
      </c>
    </row>
    <row r="539" spans="1:21" x14ac:dyDescent="0.25">
      <c r="A539" s="1" t="s">
        <v>1159</v>
      </c>
      <c r="B539" s="1" t="s">
        <v>1145</v>
      </c>
      <c r="C539" s="1" t="s">
        <v>45</v>
      </c>
      <c r="D539" s="2">
        <v>45306</v>
      </c>
      <c r="E539" s="2">
        <v>45363</v>
      </c>
      <c r="F539" s="2">
        <v>45306</v>
      </c>
      <c r="G539" s="2">
        <v>45363</v>
      </c>
      <c r="H539" s="1" t="s">
        <v>20</v>
      </c>
      <c r="I539" s="1">
        <v>100</v>
      </c>
      <c r="J539" s="1">
        <v>35993053</v>
      </c>
      <c r="L539" s="1" t="s">
        <v>1160</v>
      </c>
      <c r="M539" s="1" t="s">
        <v>1160</v>
      </c>
      <c r="N539" s="1" t="s">
        <v>22</v>
      </c>
      <c r="O539" s="1">
        <v>1</v>
      </c>
      <c r="P539" s="1" t="b">
        <v>1</v>
      </c>
      <c r="R539" s="1">
        <f t="shared" si="36"/>
        <v>0</v>
      </c>
      <c r="T539" s="1">
        <f t="shared" si="33"/>
        <v>0</v>
      </c>
      <c r="U539" s="1">
        <f t="shared" si="34"/>
        <v>0</v>
      </c>
    </row>
    <row r="540" spans="1:21" x14ac:dyDescent="0.25">
      <c r="A540" s="1" t="s">
        <v>1161</v>
      </c>
      <c r="B540" s="1" t="s">
        <v>1145</v>
      </c>
      <c r="C540" s="1" t="s">
        <v>48</v>
      </c>
      <c r="D540" s="2">
        <v>45363</v>
      </c>
      <c r="E540" s="2">
        <v>45380</v>
      </c>
      <c r="F540" s="2">
        <v>45363</v>
      </c>
      <c r="G540" s="2">
        <v>45380</v>
      </c>
      <c r="H540" s="1" t="s">
        <v>20</v>
      </c>
      <c r="I540" s="1">
        <v>100</v>
      </c>
      <c r="J540" s="1">
        <v>10797916</v>
      </c>
      <c r="L540" s="1" t="s">
        <v>1162</v>
      </c>
      <c r="M540" s="1" t="s">
        <v>1162</v>
      </c>
      <c r="N540" s="1" t="s">
        <v>22</v>
      </c>
      <c r="O540" s="1">
        <v>1</v>
      </c>
      <c r="P540" s="1" t="b">
        <v>1</v>
      </c>
      <c r="R540" s="1">
        <f t="shared" si="36"/>
        <v>0</v>
      </c>
      <c r="T540" s="1">
        <f t="shared" si="33"/>
        <v>0</v>
      </c>
      <c r="U540" s="1">
        <f t="shared" si="34"/>
        <v>0</v>
      </c>
    </row>
    <row r="541" spans="1:21" x14ac:dyDescent="0.25">
      <c r="A541" s="1" t="s">
        <v>1163</v>
      </c>
      <c r="B541" s="1" t="s">
        <v>1145</v>
      </c>
      <c r="C541" s="1" t="s">
        <v>51</v>
      </c>
      <c r="D541" s="2">
        <v>45380</v>
      </c>
      <c r="E541" s="2">
        <v>45391</v>
      </c>
      <c r="F541" s="2">
        <v>45380</v>
      </c>
      <c r="G541" s="2">
        <v>45391</v>
      </c>
      <c r="H541" s="1" t="s">
        <v>20</v>
      </c>
      <c r="I541" s="1">
        <v>100</v>
      </c>
      <c r="J541" s="1">
        <v>7198610</v>
      </c>
      <c r="L541" s="1" t="s">
        <v>1164</v>
      </c>
      <c r="M541" s="1" t="s">
        <v>1164</v>
      </c>
      <c r="N541" s="1" t="s">
        <v>22</v>
      </c>
      <c r="O541" s="1">
        <v>1</v>
      </c>
      <c r="P541" s="1" t="b">
        <v>1</v>
      </c>
      <c r="R541" s="1">
        <f t="shared" si="36"/>
        <v>0</v>
      </c>
      <c r="T541" s="1">
        <f t="shared" si="33"/>
        <v>0</v>
      </c>
      <c r="U541" s="1">
        <f t="shared" si="34"/>
        <v>0</v>
      </c>
    </row>
    <row r="542" spans="1:21" x14ac:dyDescent="0.25">
      <c r="A542" s="1" t="s">
        <v>1165</v>
      </c>
      <c r="B542" s="1" t="s">
        <v>1166</v>
      </c>
      <c r="C542" s="1" t="s">
        <v>19</v>
      </c>
      <c r="D542" s="2">
        <v>45612</v>
      </c>
      <c r="E542" s="2">
        <v>45633</v>
      </c>
      <c r="F542" s="2">
        <v>45612</v>
      </c>
      <c r="G542" s="2">
        <v>45633</v>
      </c>
      <c r="H542" s="1" t="s">
        <v>20</v>
      </c>
      <c r="I542" s="1">
        <v>100</v>
      </c>
      <c r="J542" s="1">
        <v>3682889</v>
      </c>
      <c r="L542" s="1" t="s">
        <v>1167</v>
      </c>
      <c r="M542" s="1" t="s">
        <v>1167</v>
      </c>
      <c r="N542" s="1" t="s">
        <v>22</v>
      </c>
      <c r="O542" s="1">
        <v>1</v>
      </c>
      <c r="P542" s="1" t="b">
        <v>1</v>
      </c>
      <c r="R542" s="1">
        <f t="shared" si="36"/>
        <v>0</v>
      </c>
      <c r="T542" s="1">
        <f t="shared" si="33"/>
        <v>0</v>
      </c>
      <c r="U542" s="1">
        <f t="shared" si="34"/>
        <v>0</v>
      </c>
    </row>
    <row r="543" spans="1:21" x14ac:dyDescent="0.25">
      <c r="A543" s="1" t="s">
        <v>1168</v>
      </c>
      <c r="B543" s="1" t="s">
        <v>1166</v>
      </c>
      <c r="C543" s="1" t="s">
        <v>24</v>
      </c>
      <c r="D543" s="2">
        <v>45633</v>
      </c>
      <c r="E543" s="2">
        <v>45675</v>
      </c>
      <c r="F543" s="2">
        <v>45633</v>
      </c>
      <c r="G543" s="2">
        <v>45675</v>
      </c>
      <c r="H543" s="1" t="s">
        <v>20</v>
      </c>
      <c r="I543" s="1">
        <v>100</v>
      </c>
      <c r="J543" s="1">
        <v>7365779</v>
      </c>
      <c r="L543" s="1" t="s">
        <v>1169</v>
      </c>
      <c r="M543" s="1" t="s">
        <v>1169</v>
      </c>
      <c r="N543" s="1" t="s">
        <v>22</v>
      </c>
      <c r="O543" s="1">
        <v>1</v>
      </c>
      <c r="P543" s="1" t="b">
        <v>1</v>
      </c>
      <c r="R543" s="1">
        <f t="shared" si="36"/>
        <v>0</v>
      </c>
      <c r="T543" s="1">
        <f t="shared" si="33"/>
        <v>0</v>
      </c>
      <c r="U543" s="1">
        <f t="shared" si="34"/>
        <v>0</v>
      </c>
    </row>
    <row r="544" spans="1:21" x14ac:dyDescent="0.25">
      <c r="A544" s="1" t="s">
        <v>1170</v>
      </c>
      <c r="B544" s="1" t="s">
        <v>1166</v>
      </c>
      <c r="C544" s="1" t="s">
        <v>27</v>
      </c>
      <c r="D544" s="2">
        <v>45675</v>
      </c>
      <c r="E544" s="2">
        <v>45725</v>
      </c>
      <c r="F544" s="2">
        <v>45675</v>
      </c>
      <c r="G544" s="2">
        <v>45725</v>
      </c>
      <c r="H544" s="1" t="s">
        <v>20</v>
      </c>
      <c r="I544" s="1">
        <v>100</v>
      </c>
      <c r="J544" s="1">
        <v>8838935</v>
      </c>
      <c r="L544" s="1" t="s">
        <v>1171</v>
      </c>
      <c r="M544" s="1" t="s">
        <v>1171</v>
      </c>
      <c r="N544" s="1" t="s">
        <v>22</v>
      </c>
      <c r="O544" s="1">
        <v>1</v>
      </c>
      <c r="P544" s="1" t="b">
        <v>1</v>
      </c>
      <c r="Q544" s="1" t="s">
        <v>29</v>
      </c>
      <c r="R544" s="1">
        <f t="shared" si="36"/>
        <v>0</v>
      </c>
      <c r="T544" s="1">
        <f t="shared" si="33"/>
        <v>0</v>
      </c>
      <c r="U544" s="1">
        <f t="shared" si="34"/>
        <v>0</v>
      </c>
    </row>
    <row r="545" spans="1:21" x14ac:dyDescent="0.25">
      <c r="A545" s="1" t="s">
        <v>1172</v>
      </c>
      <c r="B545" s="1" t="s">
        <v>1166</v>
      </c>
      <c r="C545" s="1" t="s">
        <v>31</v>
      </c>
      <c r="D545" s="2">
        <v>45725</v>
      </c>
      <c r="E545" s="2">
        <v>45788</v>
      </c>
      <c r="F545" s="2">
        <v>45725</v>
      </c>
      <c r="G545" s="2">
        <v>45788</v>
      </c>
      <c r="H545" s="1" t="s">
        <v>20</v>
      </c>
      <c r="I545" s="1">
        <v>100</v>
      </c>
      <c r="J545" s="1">
        <v>11048669</v>
      </c>
      <c r="L545" s="1" t="s">
        <v>1173</v>
      </c>
      <c r="M545" s="1" t="s">
        <v>1173</v>
      </c>
      <c r="N545" s="1" t="s">
        <v>22</v>
      </c>
      <c r="O545" s="1">
        <v>1</v>
      </c>
      <c r="P545" s="1" t="b">
        <v>1</v>
      </c>
      <c r="R545" s="1">
        <f t="shared" si="36"/>
        <v>0</v>
      </c>
      <c r="T545" s="1">
        <f t="shared" si="33"/>
        <v>0</v>
      </c>
      <c r="U545" s="1">
        <f t="shared" si="34"/>
        <v>0</v>
      </c>
    </row>
    <row r="546" spans="1:21" x14ac:dyDescent="0.25">
      <c r="A546" s="1" t="s">
        <v>1174</v>
      </c>
      <c r="B546" s="1" t="s">
        <v>1166</v>
      </c>
      <c r="C546" s="1" t="s">
        <v>34</v>
      </c>
      <c r="D546" s="2">
        <v>45788</v>
      </c>
      <c r="E546" s="2">
        <v>45893</v>
      </c>
      <c r="F546" s="2">
        <v>45788</v>
      </c>
      <c r="G546" s="2">
        <v>45893</v>
      </c>
      <c r="H546" s="1" t="s">
        <v>20</v>
      </c>
      <c r="I546" s="1">
        <v>100</v>
      </c>
      <c r="J546" s="1">
        <v>18414449</v>
      </c>
      <c r="L546" s="1" t="s">
        <v>1175</v>
      </c>
      <c r="M546" s="1" t="s">
        <v>1175</v>
      </c>
      <c r="N546" s="1" t="s">
        <v>22</v>
      </c>
      <c r="O546" s="1">
        <v>1</v>
      </c>
      <c r="P546" s="1" t="b">
        <v>1</v>
      </c>
      <c r="Q546" s="1" t="s">
        <v>29</v>
      </c>
      <c r="R546" s="1">
        <f t="shared" si="36"/>
        <v>0</v>
      </c>
      <c r="T546" s="1">
        <f t="shared" si="33"/>
        <v>0</v>
      </c>
      <c r="U546" s="1">
        <f t="shared" si="34"/>
        <v>0</v>
      </c>
    </row>
    <row r="547" spans="1:21" x14ac:dyDescent="0.25">
      <c r="A547" s="1" t="s">
        <v>1176</v>
      </c>
      <c r="B547" s="1" t="s">
        <v>1166</v>
      </c>
      <c r="C547" s="1" t="s">
        <v>37</v>
      </c>
      <c r="D547" s="2">
        <v>45893</v>
      </c>
      <c r="E547" s="2">
        <v>45935</v>
      </c>
      <c r="F547" s="2">
        <v>45893</v>
      </c>
      <c r="G547" s="2">
        <v>45935</v>
      </c>
      <c r="H547" s="1" t="s">
        <v>20</v>
      </c>
      <c r="I547" s="1">
        <v>100</v>
      </c>
      <c r="J547" s="1">
        <v>7365779</v>
      </c>
      <c r="L547" s="1" t="s">
        <v>1177</v>
      </c>
      <c r="M547" s="1" t="s">
        <v>1177</v>
      </c>
      <c r="N547" s="1" t="s">
        <v>22</v>
      </c>
      <c r="O547" s="1">
        <v>1</v>
      </c>
      <c r="P547" s="1" t="b">
        <v>1</v>
      </c>
      <c r="R547" s="1">
        <f t="shared" si="36"/>
        <v>0</v>
      </c>
      <c r="T547" s="1">
        <f t="shared" si="33"/>
        <v>0</v>
      </c>
      <c r="U547" s="1">
        <f t="shared" si="34"/>
        <v>0</v>
      </c>
    </row>
    <row r="548" spans="1:21" x14ac:dyDescent="0.25">
      <c r="A548" s="1" t="s">
        <v>1178</v>
      </c>
      <c r="B548" s="1" t="s">
        <v>1166</v>
      </c>
      <c r="C548" s="1" t="s">
        <v>41</v>
      </c>
      <c r="D548" s="2">
        <v>45935</v>
      </c>
      <c r="E548" s="2">
        <v>45968</v>
      </c>
      <c r="F548" s="2">
        <v>45935</v>
      </c>
      <c r="G548" s="2">
        <v>45968</v>
      </c>
      <c r="H548" s="1" t="s">
        <v>20</v>
      </c>
      <c r="I548" s="1">
        <v>100</v>
      </c>
      <c r="J548" s="1">
        <v>5892623</v>
      </c>
      <c r="L548" s="1" t="s">
        <v>1179</v>
      </c>
      <c r="M548" s="1" t="s">
        <v>1179</v>
      </c>
      <c r="N548" s="1" t="s">
        <v>22</v>
      </c>
      <c r="O548" s="1">
        <v>1</v>
      </c>
      <c r="P548" s="1" t="b">
        <v>1</v>
      </c>
      <c r="R548" s="1">
        <f t="shared" si="36"/>
        <v>0</v>
      </c>
      <c r="T548" s="1">
        <f t="shared" si="33"/>
        <v>0</v>
      </c>
      <c r="U548" s="1">
        <f t="shared" si="34"/>
        <v>0</v>
      </c>
    </row>
    <row r="549" spans="1:21" x14ac:dyDescent="0.25">
      <c r="A549" s="1" t="s">
        <v>1180</v>
      </c>
      <c r="B549" s="1" t="s">
        <v>1166</v>
      </c>
      <c r="C549" s="1" t="s">
        <v>45</v>
      </c>
      <c r="D549" s="2">
        <v>45968</v>
      </c>
      <c r="E549" s="2">
        <v>46010</v>
      </c>
      <c r="F549" s="2">
        <v>45968</v>
      </c>
      <c r="G549" s="2">
        <v>46010</v>
      </c>
      <c r="H549" s="1" t="s">
        <v>20</v>
      </c>
      <c r="I549" s="1">
        <v>100</v>
      </c>
      <c r="J549" s="1">
        <v>7365779</v>
      </c>
      <c r="L549" s="1" t="s">
        <v>1181</v>
      </c>
      <c r="M549" s="1" t="s">
        <v>1181</v>
      </c>
      <c r="N549" s="1" t="s">
        <v>22</v>
      </c>
      <c r="O549" s="1">
        <v>1</v>
      </c>
      <c r="P549" s="1" t="b">
        <v>1</v>
      </c>
      <c r="R549" s="1">
        <f t="shared" si="36"/>
        <v>0</v>
      </c>
      <c r="T549" s="1">
        <f t="shared" si="33"/>
        <v>0</v>
      </c>
      <c r="U549" s="1">
        <f t="shared" si="34"/>
        <v>0</v>
      </c>
    </row>
    <row r="550" spans="1:21" x14ac:dyDescent="0.25">
      <c r="A550" s="1" t="s">
        <v>1182</v>
      </c>
      <c r="B550" s="1" t="s">
        <v>1166</v>
      </c>
      <c r="C550" s="1" t="s">
        <v>48</v>
      </c>
      <c r="D550" s="2">
        <v>46010</v>
      </c>
      <c r="E550" s="2">
        <v>46022</v>
      </c>
      <c r="F550" s="2">
        <v>46010</v>
      </c>
      <c r="G550" s="2">
        <v>46022</v>
      </c>
      <c r="H550" s="1" t="s">
        <v>20</v>
      </c>
      <c r="I550" s="1">
        <v>100</v>
      </c>
      <c r="J550" s="1">
        <v>2209733</v>
      </c>
      <c r="L550" s="1" t="s">
        <v>1183</v>
      </c>
      <c r="M550" s="1" t="s">
        <v>1183</v>
      </c>
      <c r="N550" s="1" t="s">
        <v>22</v>
      </c>
      <c r="O550" s="1">
        <v>1</v>
      </c>
      <c r="P550" s="1" t="b">
        <v>1</v>
      </c>
      <c r="R550" s="1">
        <f t="shared" si="36"/>
        <v>0</v>
      </c>
      <c r="T550" s="1">
        <f t="shared" si="33"/>
        <v>0</v>
      </c>
      <c r="U550" s="1">
        <f t="shared" si="34"/>
        <v>0</v>
      </c>
    </row>
    <row r="551" spans="1:21" x14ac:dyDescent="0.25">
      <c r="A551" s="1" t="s">
        <v>1184</v>
      </c>
      <c r="B551" s="1" t="s">
        <v>1166</v>
      </c>
      <c r="C551" s="1" t="s">
        <v>51</v>
      </c>
      <c r="D551" s="2">
        <v>46022</v>
      </c>
      <c r="E551" s="2">
        <v>46030</v>
      </c>
      <c r="F551" s="2">
        <v>46022</v>
      </c>
      <c r="G551" s="2">
        <v>46030</v>
      </c>
      <c r="H551" s="1" t="s">
        <v>20</v>
      </c>
      <c r="I551" s="1">
        <v>100</v>
      </c>
      <c r="J551" s="1">
        <v>1473155</v>
      </c>
      <c r="L551" s="1" t="s">
        <v>1185</v>
      </c>
      <c r="M551" s="1" t="s">
        <v>1185</v>
      </c>
      <c r="N551" s="1" t="s">
        <v>22</v>
      </c>
      <c r="O551" s="1">
        <v>1</v>
      </c>
      <c r="P551" s="1" t="b">
        <v>1</v>
      </c>
      <c r="R551" s="1">
        <f t="shared" si="36"/>
        <v>0</v>
      </c>
      <c r="T551" s="1">
        <f t="shared" si="33"/>
        <v>0</v>
      </c>
      <c r="U551" s="1">
        <f t="shared" si="34"/>
        <v>0</v>
      </c>
    </row>
    <row r="552" spans="1:21" x14ac:dyDescent="0.25">
      <c r="A552" s="1" t="s">
        <v>1186</v>
      </c>
      <c r="B552" s="1" t="s">
        <v>1187</v>
      </c>
      <c r="C552" s="1" t="s">
        <v>19</v>
      </c>
      <c r="D552" s="2">
        <v>45414</v>
      </c>
      <c r="E552" s="2">
        <v>45486</v>
      </c>
      <c r="F552" s="2">
        <v>45414</v>
      </c>
      <c r="G552" s="2">
        <v>45486</v>
      </c>
      <c r="H552" s="1" t="s">
        <v>20</v>
      </c>
      <c r="I552" s="1">
        <v>100</v>
      </c>
      <c r="J552" s="1">
        <v>17366054</v>
      </c>
      <c r="L552" s="1" t="s">
        <v>1188</v>
      </c>
      <c r="M552" s="1" t="s">
        <v>1188</v>
      </c>
      <c r="N552" s="1" t="s">
        <v>22</v>
      </c>
      <c r="O552" s="1">
        <v>1</v>
      </c>
      <c r="P552" s="1" t="b">
        <v>1</v>
      </c>
      <c r="R552" s="1">
        <f t="shared" si="36"/>
        <v>0</v>
      </c>
      <c r="T552" s="1">
        <f t="shared" si="33"/>
        <v>0</v>
      </c>
      <c r="U552" s="1">
        <f t="shared" si="34"/>
        <v>0</v>
      </c>
    </row>
    <row r="553" spans="1:21" x14ac:dyDescent="0.25">
      <c r="A553" s="1" t="s">
        <v>1189</v>
      </c>
      <c r="B553" s="1" t="s">
        <v>1187</v>
      </c>
      <c r="C553" s="1" t="s">
        <v>24</v>
      </c>
      <c r="D553" s="2">
        <v>45486</v>
      </c>
      <c r="E553" s="2">
        <v>45630</v>
      </c>
      <c r="F553" s="2">
        <v>45486</v>
      </c>
      <c r="G553" s="2">
        <v>45630</v>
      </c>
      <c r="H553" s="1" t="s">
        <v>20</v>
      </c>
      <c r="I553" s="1">
        <v>100</v>
      </c>
      <c r="J553" s="1">
        <v>34732108</v>
      </c>
      <c r="L553" s="1" t="s">
        <v>1190</v>
      </c>
      <c r="M553" s="1" t="s">
        <v>1190</v>
      </c>
      <c r="N553" s="1" t="s">
        <v>22</v>
      </c>
      <c r="O553" s="1">
        <v>1</v>
      </c>
      <c r="P553" s="1" t="b">
        <v>1</v>
      </c>
      <c r="R553" s="1">
        <f t="shared" si="36"/>
        <v>0</v>
      </c>
      <c r="T553" s="1">
        <f t="shared" si="33"/>
        <v>0</v>
      </c>
      <c r="U553" s="1">
        <f t="shared" si="34"/>
        <v>0</v>
      </c>
    </row>
    <row r="554" spans="1:21" x14ac:dyDescent="0.25">
      <c r="A554" s="1" t="s">
        <v>1191</v>
      </c>
      <c r="B554" s="1" t="s">
        <v>1187</v>
      </c>
      <c r="C554" s="1" t="s">
        <v>27</v>
      </c>
      <c r="D554" s="2">
        <v>45630</v>
      </c>
      <c r="E554" s="2">
        <v>45802</v>
      </c>
      <c r="F554" s="2">
        <v>45630</v>
      </c>
      <c r="G554" s="2">
        <v>45802</v>
      </c>
      <c r="H554" s="1" t="s">
        <v>20</v>
      </c>
      <c r="I554" s="1">
        <v>100</v>
      </c>
      <c r="J554" s="1">
        <v>41678530</v>
      </c>
      <c r="L554" s="1" t="s">
        <v>1192</v>
      </c>
      <c r="M554" s="1" t="s">
        <v>1192</v>
      </c>
      <c r="N554" s="1" t="s">
        <v>22</v>
      </c>
      <c r="O554" s="1">
        <v>1</v>
      </c>
      <c r="P554" s="1" t="b">
        <v>1</v>
      </c>
      <c r="Q554" s="1" t="s">
        <v>29</v>
      </c>
      <c r="R554" s="1">
        <f t="shared" si="36"/>
        <v>0</v>
      </c>
      <c r="T554" s="1">
        <f t="shared" si="33"/>
        <v>0</v>
      </c>
      <c r="U554" s="1">
        <f t="shared" si="34"/>
        <v>0</v>
      </c>
    </row>
    <row r="555" spans="1:21" x14ac:dyDescent="0.25">
      <c r="A555" s="1" t="s">
        <v>1193</v>
      </c>
      <c r="B555" s="1" t="s">
        <v>1187</v>
      </c>
      <c r="C555" s="1" t="s">
        <v>31</v>
      </c>
      <c r="D555" s="2">
        <v>45802</v>
      </c>
      <c r="E555" s="2">
        <v>46018</v>
      </c>
      <c r="F555" s="2">
        <v>45802</v>
      </c>
      <c r="G555" s="2">
        <v>46018</v>
      </c>
      <c r="H555" s="1" t="s">
        <v>20</v>
      </c>
      <c r="I555" s="1">
        <v>100</v>
      </c>
      <c r="J555" s="1">
        <v>52098163</v>
      </c>
      <c r="L555" s="1" t="s">
        <v>1194</v>
      </c>
      <c r="M555" s="1" t="s">
        <v>1194</v>
      </c>
      <c r="N555" s="1" t="s">
        <v>22</v>
      </c>
      <c r="O555" s="1">
        <v>1</v>
      </c>
      <c r="P555" s="1" t="b">
        <v>1</v>
      </c>
      <c r="R555" s="1">
        <f t="shared" si="36"/>
        <v>0</v>
      </c>
      <c r="T555" s="1">
        <f t="shared" si="33"/>
        <v>0</v>
      </c>
      <c r="U555" s="1">
        <f t="shared" si="34"/>
        <v>0</v>
      </c>
    </row>
    <row r="556" spans="1:21" x14ac:dyDescent="0.25">
      <c r="A556" s="1" t="s">
        <v>1195</v>
      </c>
      <c r="B556" s="1" t="s">
        <v>1187</v>
      </c>
      <c r="C556" s="1" t="s">
        <v>34</v>
      </c>
      <c r="D556" s="2">
        <v>46018</v>
      </c>
      <c r="E556" s="2">
        <v>46378</v>
      </c>
      <c r="F556" s="2">
        <v>46018</v>
      </c>
      <c r="H556" s="1" t="s">
        <v>38</v>
      </c>
      <c r="I556" s="1">
        <v>33</v>
      </c>
      <c r="J556" s="1">
        <v>86830271</v>
      </c>
      <c r="L556" s="1" t="s">
        <v>1196</v>
      </c>
      <c r="M556" s="1" t="s">
        <v>1196</v>
      </c>
      <c r="N556" s="1" t="s">
        <v>22</v>
      </c>
      <c r="O556" s="1">
        <v>1</v>
      </c>
      <c r="P556" s="1" t="b">
        <v>1</v>
      </c>
      <c r="Q556" s="1" t="s">
        <v>29</v>
      </c>
      <c r="S556" s="1">
        <f t="shared" ref="S556:S561" si="37">R$7-E556</f>
        <v>-84</v>
      </c>
      <c r="T556" s="1">
        <f t="shared" si="33"/>
        <v>0</v>
      </c>
      <c r="U556" s="1">
        <f t="shared" si="34"/>
        <v>0</v>
      </c>
    </row>
    <row r="557" spans="1:21" x14ac:dyDescent="0.25">
      <c r="A557" s="1" t="s">
        <v>1197</v>
      </c>
      <c r="B557" s="1" t="s">
        <v>1187</v>
      </c>
      <c r="C557" s="1" t="s">
        <v>37</v>
      </c>
      <c r="D557" s="2">
        <v>46378</v>
      </c>
      <c r="E557" s="2">
        <v>46522</v>
      </c>
      <c r="H557" s="1" t="s">
        <v>42</v>
      </c>
      <c r="I557" s="1">
        <v>0</v>
      </c>
      <c r="J557" s="1">
        <v>34732108</v>
      </c>
      <c r="L557" s="1" t="s">
        <v>1198</v>
      </c>
      <c r="M557" s="1" t="s">
        <v>1198</v>
      </c>
      <c r="N557" s="1" t="s">
        <v>22</v>
      </c>
      <c r="O557" s="1">
        <v>1</v>
      </c>
      <c r="P557" s="1" t="b">
        <v>1</v>
      </c>
      <c r="S557" s="1">
        <f t="shared" si="37"/>
        <v>-228</v>
      </c>
      <c r="T557" s="1">
        <f t="shared" si="33"/>
        <v>0</v>
      </c>
      <c r="U557" s="1">
        <f t="shared" si="34"/>
        <v>0</v>
      </c>
    </row>
    <row r="558" spans="1:21" x14ac:dyDescent="0.25">
      <c r="A558" s="1" t="s">
        <v>1199</v>
      </c>
      <c r="B558" s="1" t="s">
        <v>1187</v>
      </c>
      <c r="C558" s="1" t="s">
        <v>41</v>
      </c>
      <c r="D558" s="2">
        <v>46522</v>
      </c>
      <c r="E558" s="2">
        <v>46637</v>
      </c>
      <c r="H558" s="1" t="s">
        <v>42</v>
      </c>
      <c r="I558" s="1">
        <v>0</v>
      </c>
      <c r="J558" s="1">
        <v>27785686</v>
      </c>
      <c r="L558" s="1" t="s">
        <v>1200</v>
      </c>
      <c r="M558" s="1" t="s">
        <v>1200</v>
      </c>
      <c r="N558" s="1" t="s">
        <v>22</v>
      </c>
      <c r="O558" s="1">
        <v>1</v>
      </c>
      <c r="P558" s="1" t="b">
        <v>1</v>
      </c>
      <c r="S558" s="1">
        <f t="shared" si="37"/>
        <v>-343</v>
      </c>
      <c r="T558" s="1">
        <f t="shared" si="33"/>
        <v>0</v>
      </c>
      <c r="U558" s="1">
        <f t="shared" si="34"/>
        <v>0</v>
      </c>
    </row>
    <row r="559" spans="1:21" x14ac:dyDescent="0.25">
      <c r="A559" s="1" t="s">
        <v>1201</v>
      </c>
      <c r="B559" s="1" t="s">
        <v>1187</v>
      </c>
      <c r="C559" s="1" t="s">
        <v>45</v>
      </c>
      <c r="D559" s="2">
        <v>46637</v>
      </c>
      <c r="E559" s="2">
        <v>46781</v>
      </c>
      <c r="H559" s="1" t="s">
        <v>42</v>
      </c>
      <c r="I559" s="1">
        <v>0</v>
      </c>
      <c r="J559" s="1">
        <v>34732108</v>
      </c>
      <c r="L559" s="1" t="s">
        <v>1202</v>
      </c>
      <c r="M559" s="1" t="s">
        <v>1202</v>
      </c>
      <c r="N559" s="1" t="s">
        <v>22</v>
      </c>
      <c r="O559" s="1">
        <v>1</v>
      </c>
      <c r="P559" s="1" t="b">
        <v>1</v>
      </c>
      <c r="S559" s="1">
        <f t="shared" si="37"/>
        <v>-487</v>
      </c>
      <c r="T559" s="1">
        <f t="shared" si="33"/>
        <v>0</v>
      </c>
      <c r="U559" s="1">
        <f t="shared" si="34"/>
        <v>0</v>
      </c>
    </row>
    <row r="560" spans="1:21" x14ac:dyDescent="0.25">
      <c r="A560" s="1" t="s">
        <v>1203</v>
      </c>
      <c r="B560" s="1" t="s">
        <v>1187</v>
      </c>
      <c r="C560" s="1" t="s">
        <v>48</v>
      </c>
      <c r="D560" s="2">
        <v>46781</v>
      </c>
      <c r="E560" s="2">
        <v>46824</v>
      </c>
      <c r="H560" s="1" t="s">
        <v>42</v>
      </c>
      <c r="I560" s="1">
        <v>0</v>
      </c>
      <c r="J560" s="1">
        <v>10419632</v>
      </c>
      <c r="L560" s="1" t="s">
        <v>1204</v>
      </c>
      <c r="M560" s="1" t="s">
        <v>1204</v>
      </c>
      <c r="N560" s="1" t="s">
        <v>22</v>
      </c>
      <c r="O560" s="1">
        <v>1</v>
      </c>
      <c r="P560" s="1" t="b">
        <v>1</v>
      </c>
      <c r="S560" s="1">
        <f t="shared" si="37"/>
        <v>-530</v>
      </c>
      <c r="T560" s="1">
        <f t="shared" si="33"/>
        <v>0</v>
      </c>
      <c r="U560" s="1">
        <f t="shared" si="34"/>
        <v>0</v>
      </c>
    </row>
    <row r="561" spans="1:21" x14ac:dyDescent="0.25">
      <c r="A561" s="1" t="s">
        <v>1205</v>
      </c>
      <c r="B561" s="1" t="s">
        <v>1187</v>
      </c>
      <c r="C561" s="1" t="s">
        <v>51</v>
      </c>
      <c r="D561" s="2">
        <v>46824</v>
      </c>
      <c r="E561" s="2">
        <v>46852</v>
      </c>
      <c r="H561" s="1" t="s">
        <v>42</v>
      </c>
      <c r="I561" s="1">
        <v>0</v>
      </c>
      <c r="J561" s="1">
        <v>6946421</v>
      </c>
      <c r="L561" s="1" t="s">
        <v>1206</v>
      </c>
      <c r="M561" s="1" t="s">
        <v>1206</v>
      </c>
      <c r="N561" s="1" t="s">
        <v>22</v>
      </c>
      <c r="O561" s="1">
        <v>1</v>
      </c>
      <c r="P561" s="1" t="b">
        <v>1</v>
      </c>
      <c r="S561" s="1">
        <f t="shared" si="37"/>
        <v>-558</v>
      </c>
      <c r="T561" s="1">
        <f t="shared" si="33"/>
        <v>0</v>
      </c>
      <c r="U561" s="1">
        <f t="shared" si="34"/>
        <v>0</v>
      </c>
    </row>
    <row r="562" spans="1:21" x14ac:dyDescent="0.25">
      <c r="A562" s="1" t="s">
        <v>1207</v>
      </c>
      <c r="B562" s="1" t="s">
        <v>1208</v>
      </c>
      <c r="C562" s="1" t="s">
        <v>19</v>
      </c>
      <c r="D562" s="2">
        <v>45171</v>
      </c>
      <c r="E562" s="2">
        <v>45205</v>
      </c>
      <c r="F562" s="2">
        <v>45171</v>
      </c>
      <c r="G562" s="2">
        <v>45205</v>
      </c>
      <c r="H562" s="1" t="s">
        <v>20</v>
      </c>
      <c r="I562" s="1">
        <v>100</v>
      </c>
      <c r="J562" s="1">
        <v>16979212</v>
      </c>
      <c r="L562" s="1" t="s">
        <v>1209</v>
      </c>
      <c r="M562" s="1" t="s">
        <v>1209</v>
      </c>
      <c r="N562" s="1" t="s">
        <v>22</v>
      </c>
      <c r="O562" s="1">
        <v>1</v>
      </c>
      <c r="P562" s="1" t="b">
        <v>1</v>
      </c>
      <c r="R562" s="1">
        <f t="shared" ref="R562:R595" si="38">G562-E562</f>
        <v>0</v>
      </c>
      <c r="T562" s="1">
        <f t="shared" si="33"/>
        <v>0</v>
      </c>
      <c r="U562" s="1">
        <f t="shared" si="34"/>
        <v>0</v>
      </c>
    </row>
    <row r="563" spans="1:21" x14ac:dyDescent="0.25">
      <c r="A563" s="1" t="s">
        <v>1210</v>
      </c>
      <c r="B563" s="1" t="s">
        <v>1208</v>
      </c>
      <c r="C563" s="1" t="s">
        <v>24</v>
      </c>
      <c r="D563" s="2">
        <v>45205</v>
      </c>
      <c r="E563" s="2">
        <v>45274</v>
      </c>
      <c r="F563" s="2">
        <v>45205</v>
      </c>
      <c r="G563" s="2">
        <v>45274</v>
      </c>
      <c r="H563" s="1" t="s">
        <v>20</v>
      </c>
      <c r="I563" s="1">
        <v>100</v>
      </c>
      <c r="J563" s="1">
        <v>33958425</v>
      </c>
      <c r="L563" s="1" t="s">
        <v>1211</v>
      </c>
      <c r="M563" s="1" t="s">
        <v>1211</v>
      </c>
      <c r="N563" s="1" t="s">
        <v>22</v>
      </c>
      <c r="O563" s="1">
        <v>1</v>
      </c>
      <c r="P563" s="1" t="b">
        <v>1</v>
      </c>
      <c r="R563" s="1">
        <f t="shared" si="38"/>
        <v>0</v>
      </c>
      <c r="T563" s="1">
        <f t="shared" si="33"/>
        <v>0</v>
      </c>
      <c r="U563" s="1">
        <f t="shared" si="34"/>
        <v>0</v>
      </c>
    </row>
    <row r="564" spans="1:21" x14ac:dyDescent="0.25">
      <c r="A564" s="1" t="s">
        <v>1212</v>
      </c>
      <c r="B564" s="1" t="s">
        <v>1208</v>
      </c>
      <c r="C564" s="1" t="s">
        <v>27</v>
      </c>
      <c r="D564" s="2">
        <v>45274</v>
      </c>
      <c r="E564" s="2">
        <v>45356</v>
      </c>
      <c r="F564" s="2">
        <v>45274</v>
      </c>
      <c r="G564" s="2">
        <v>45356</v>
      </c>
      <c r="H564" s="1" t="s">
        <v>20</v>
      </c>
      <c r="I564" s="1">
        <v>100</v>
      </c>
      <c r="J564" s="1">
        <v>40750110</v>
      </c>
      <c r="L564" s="1" t="s">
        <v>1213</v>
      </c>
      <c r="M564" s="1" t="s">
        <v>1213</v>
      </c>
      <c r="N564" s="1" t="s">
        <v>22</v>
      </c>
      <c r="O564" s="1">
        <v>1</v>
      </c>
      <c r="P564" s="1" t="b">
        <v>1</v>
      </c>
      <c r="Q564" s="1" t="s">
        <v>29</v>
      </c>
      <c r="R564" s="1">
        <f t="shared" si="38"/>
        <v>0</v>
      </c>
      <c r="T564" s="1">
        <f t="shared" si="33"/>
        <v>0</v>
      </c>
      <c r="U564" s="1">
        <f t="shared" si="34"/>
        <v>0</v>
      </c>
    </row>
    <row r="565" spans="1:21" x14ac:dyDescent="0.25">
      <c r="A565" s="1" t="s">
        <v>1214</v>
      </c>
      <c r="B565" s="1" t="s">
        <v>1208</v>
      </c>
      <c r="C565" s="1" t="s">
        <v>31</v>
      </c>
      <c r="D565" s="2">
        <v>45356</v>
      </c>
      <c r="E565" s="2">
        <v>45459</v>
      </c>
      <c r="F565" s="2">
        <v>45356</v>
      </c>
      <c r="G565" s="2">
        <v>45459</v>
      </c>
      <c r="H565" s="1" t="s">
        <v>20</v>
      </c>
      <c r="I565" s="1">
        <v>100</v>
      </c>
      <c r="J565" s="1">
        <v>50937637</v>
      </c>
      <c r="L565" s="1" t="s">
        <v>1215</v>
      </c>
      <c r="M565" s="1" t="s">
        <v>1215</v>
      </c>
      <c r="N565" s="1" t="s">
        <v>22</v>
      </c>
      <c r="O565" s="1">
        <v>1</v>
      </c>
      <c r="P565" s="1" t="b">
        <v>1</v>
      </c>
      <c r="R565" s="1">
        <f t="shared" si="38"/>
        <v>0</v>
      </c>
      <c r="T565" s="1">
        <f t="shared" si="33"/>
        <v>0</v>
      </c>
      <c r="U565" s="1">
        <f t="shared" si="34"/>
        <v>0</v>
      </c>
    </row>
    <row r="566" spans="1:21" x14ac:dyDescent="0.25">
      <c r="A566" s="1" t="s">
        <v>1216</v>
      </c>
      <c r="B566" s="1" t="s">
        <v>1208</v>
      </c>
      <c r="C566" s="1" t="s">
        <v>34</v>
      </c>
      <c r="D566" s="2">
        <v>45459</v>
      </c>
      <c r="E566" s="2">
        <v>45631</v>
      </c>
      <c r="F566" s="2">
        <v>45459</v>
      </c>
      <c r="G566" s="2">
        <v>45631</v>
      </c>
      <c r="H566" s="1" t="s">
        <v>20</v>
      </c>
      <c r="I566" s="1">
        <v>100</v>
      </c>
      <c r="J566" s="1">
        <v>84896063</v>
      </c>
      <c r="L566" s="1" t="s">
        <v>1217</v>
      </c>
      <c r="M566" s="1" t="s">
        <v>1217</v>
      </c>
      <c r="N566" s="1" t="s">
        <v>22</v>
      </c>
      <c r="O566" s="1">
        <v>1</v>
      </c>
      <c r="P566" s="1" t="b">
        <v>1</v>
      </c>
      <c r="Q566" s="1" t="s">
        <v>29</v>
      </c>
      <c r="R566" s="1">
        <f t="shared" si="38"/>
        <v>0</v>
      </c>
      <c r="T566" s="1">
        <f t="shared" si="33"/>
        <v>0</v>
      </c>
      <c r="U566" s="1">
        <f t="shared" si="34"/>
        <v>0</v>
      </c>
    </row>
    <row r="567" spans="1:21" x14ac:dyDescent="0.25">
      <c r="A567" s="1" t="s">
        <v>1218</v>
      </c>
      <c r="B567" s="1" t="s">
        <v>1208</v>
      </c>
      <c r="C567" s="1" t="s">
        <v>37</v>
      </c>
      <c r="D567" s="2">
        <v>45631</v>
      </c>
      <c r="E567" s="2">
        <v>45700</v>
      </c>
      <c r="F567" s="2">
        <v>45631</v>
      </c>
      <c r="G567" s="2">
        <v>45700</v>
      </c>
      <c r="H567" s="1" t="s">
        <v>20</v>
      </c>
      <c r="I567" s="1">
        <v>100</v>
      </c>
      <c r="J567" s="1">
        <v>33958425</v>
      </c>
      <c r="L567" s="1" t="s">
        <v>1219</v>
      </c>
      <c r="M567" s="1" t="s">
        <v>1219</v>
      </c>
      <c r="N567" s="1" t="s">
        <v>22</v>
      </c>
      <c r="O567" s="1">
        <v>1</v>
      </c>
      <c r="P567" s="1" t="b">
        <v>1</v>
      </c>
      <c r="R567" s="1">
        <f t="shared" si="38"/>
        <v>0</v>
      </c>
      <c r="T567" s="1">
        <f t="shared" si="33"/>
        <v>0</v>
      </c>
      <c r="U567" s="1">
        <f t="shared" si="34"/>
        <v>0</v>
      </c>
    </row>
    <row r="568" spans="1:21" x14ac:dyDescent="0.25">
      <c r="A568" s="1" t="s">
        <v>1220</v>
      </c>
      <c r="B568" s="1" t="s">
        <v>1208</v>
      </c>
      <c r="C568" s="1" t="s">
        <v>41</v>
      </c>
      <c r="D568" s="2">
        <v>45700</v>
      </c>
      <c r="E568" s="2">
        <v>45755</v>
      </c>
      <c r="F568" s="2">
        <v>45700</v>
      </c>
      <c r="G568" s="2">
        <v>45755</v>
      </c>
      <c r="H568" s="1" t="s">
        <v>20</v>
      </c>
      <c r="I568" s="1">
        <v>100</v>
      </c>
      <c r="J568" s="1">
        <v>27166740</v>
      </c>
      <c r="L568" s="1" t="s">
        <v>1221</v>
      </c>
      <c r="M568" s="1" t="s">
        <v>1221</v>
      </c>
      <c r="N568" s="1" t="s">
        <v>22</v>
      </c>
      <c r="O568" s="1">
        <v>1</v>
      </c>
      <c r="P568" s="1" t="b">
        <v>1</v>
      </c>
      <c r="R568" s="1">
        <f t="shared" si="38"/>
        <v>0</v>
      </c>
      <c r="T568" s="1">
        <f t="shared" si="33"/>
        <v>0</v>
      </c>
      <c r="U568" s="1">
        <f t="shared" si="34"/>
        <v>0</v>
      </c>
    </row>
    <row r="569" spans="1:21" x14ac:dyDescent="0.25">
      <c r="A569" s="1" t="s">
        <v>1222</v>
      </c>
      <c r="B569" s="1" t="s">
        <v>1208</v>
      </c>
      <c r="C569" s="1" t="s">
        <v>45</v>
      </c>
      <c r="D569" s="2">
        <v>45755</v>
      </c>
      <c r="E569" s="2">
        <v>45824</v>
      </c>
      <c r="F569" s="2">
        <v>45755</v>
      </c>
      <c r="G569" s="2">
        <v>45824</v>
      </c>
      <c r="H569" s="1" t="s">
        <v>20</v>
      </c>
      <c r="I569" s="1">
        <v>100</v>
      </c>
      <c r="J569" s="1">
        <v>33958425</v>
      </c>
      <c r="L569" s="1" t="s">
        <v>1223</v>
      </c>
      <c r="M569" s="1" t="s">
        <v>1223</v>
      </c>
      <c r="N569" s="1" t="s">
        <v>22</v>
      </c>
      <c r="O569" s="1">
        <v>1</v>
      </c>
      <c r="P569" s="1" t="b">
        <v>1</v>
      </c>
      <c r="R569" s="1">
        <f t="shared" si="38"/>
        <v>0</v>
      </c>
      <c r="T569" s="1">
        <f t="shared" si="33"/>
        <v>0</v>
      </c>
      <c r="U569" s="1">
        <f t="shared" si="34"/>
        <v>0</v>
      </c>
    </row>
    <row r="570" spans="1:21" x14ac:dyDescent="0.25">
      <c r="A570" s="1" t="s">
        <v>1224</v>
      </c>
      <c r="B570" s="1" t="s">
        <v>1208</v>
      </c>
      <c r="C570" s="1" t="s">
        <v>48</v>
      </c>
      <c r="D570" s="2">
        <v>45824</v>
      </c>
      <c r="E570" s="2">
        <v>45844</v>
      </c>
      <c r="F570" s="2">
        <v>45824</v>
      </c>
      <c r="G570" s="2">
        <v>45844</v>
      </c>
      <c r="H570" s="1" t="s">
        <v>20</v>
      </c>
      <c r="I570" s="1">
        <v>100</v>
      </c>
      <c r="J570" s="1">
        <v>10187527</v>
      </c>
      <c r="L570" s="1" t="s">
        <v>1225</v>
      </c>
      <c r="M570" s="1" t="s">
        <v>1225</v>
      </c>
      <c r="N570" s="1" t="s">
        <v>22</v>
      </c>
      <c r="O570" s="1">
        <v>1</v>
      </c>
      <c r="P570" s="1" t="b">
        <v>1</v>
      </c>
      <c r="R570" s="1">
        <f t="shared" si="38"/>
        <v>0</v>
      </c>
      <c r="T570" s="1">
        <f t="shared" si="33"/>
        <v>0</v>
      </c>
      <c r="U570" s="1">
        <f t="shared" si="34"/>
        <v>0</v>
      </c>
    </row>
    <row r="571" spans="1:21" x14ac:dyDescent="0.25">
      <c r="A571" s="1" t="s">
        <v>1226</v>
      </c>
      <c r="B571" s="1" t="s">
        <v>1208</v>
      </c>
      <c r="C571" s="1" t="s">
        <v>51</v>
      </c>
      <c r="D571" s="2">
        <v>45844</v>
      </c>
      <c r="E571" s="2">
        <v>45857</v>
      </c>
      <c r="F571" s="2">
        <v>45844</v>
      </c>
      <c r="G571" s="2">
        <v>45857</v>
      </c>
      <c r="H571" s="1" t="s">
        <v>20</v>
      </c>
      <c r="I571" s="1">
        <v>100</v>
      </c>
      <c r="J571" s="1">
        <v>6791685</v>
      </c>
      <c r="L571" s="1" t="s">
        <v>1227</v>
      </c>
      <c r="M571" s="1" t="s">
        <v>1227</v>
      </c>
      <c r="N571" s="1" t="s">
        <v>22</v>
      </c>
      <c r="O571" s="1">
        <v>1</v>
      </c>
      <c r="P571" s="1" t="b">
        <v>1</v>
      </c>
      <c r="R571" s="1">
        <f t="shared" si="38"/>
        <v>0</v>
      </c>
      <c r="T571" s="1">
        <f t="shared" si="33"/>
        <v>0</v>
      </c>
      <c r="U571" s="1">
        <f t="shared" si="34"/>
        <v>0</v>
      </c>
    </row>
    <row r="572" spans="1:21" x14ac:dyDescent="0.25">
      <c r="A572" s="1" t="s">
        <v>1228</v>
      </c>
      <c r="B572" s="1" t="s">
        <v>1229</v>
      </c>
      <c r="C572" s="1" t="s">
        <v>19</v>
      </c>
      <c r="D572" s="2">
        <v>45057</v>
      </c>
      <c r="E572" s="2">
        <v>45076</v>
      </c>
      <c r="F572" s="2">
        <v>45057</v>
      </c>
      <c r="G572" s="2">
        <v>45076</v>
      </c>
      <c r="H572" s="1" t="s">
        <v>20</v>
      </c>
      <c r="I572" s="1">
        <v>100</v>
      </c>
      <c r="J572" s="1">
        <v>5681752</v>
      </c>
      <c r="L572" s="1" t="s">
        <v>1230</v>
      </c>
      <c r="M572" s="1" t="s">
        <v>1230</v>
      </c>
      <c r="N572" s="1" t="s">
        <v>22</v>
      </c>
      <c r="O572" s="1">
        <v>1</v>
      </c>
      <c r="P572" s="1" t="b">
        <v>1</v>
      </c>
      <c r="R572" s="1">
        <f t="shared" si="38"/>
        <v>0</v>
      </c>
      <c r="T572" s="1">
        <f t="shared" si="33"/>
        <v>0</v>
      </c>
      <c r="U572" s="1">
        <f t="shared" si="34"/>
        <v>0</v>
      </c>
    </row>
    <row r="573" spans="1:21" x14ac:dyDescent="0.25">
      <c r="A573" s="1" t="s">
        <v>1231</v>
      </c>
      <c r="B573" s="1" t="s">
        <v>1229</v>
      </c>
      <c r="C573" s="1" t="s">
        <v>24</v>
      </c>
      <c r="D573" s="2">
        <v>45076</v>
      </c>
      <c r="E573" s="2">
        <v>45115</v>
      </c>
      <c r="F573" s="2">
        <v>45076</v>
      </c>
      <c r="G573" s="2">
        <v>45115</v>
      </c>
      <c r="H573" s="1" t="s">
        <v>20</v>
      </c>
      <c r="I573" s="1">
        <v>100</v>
      </c>
      <c r="J573" s="1">
        <v>11363505</v>
      </c>
      <c r="L573" s="1" t="s">
        <v>1232</v>
      </c>
      <c r="M573" s="1" t="s">
        <v>1232</v>
      </c>
      <c r="N573" s="1" t="s">
        <v>22</v>
      </c>
      <c r="O573" s="1">
        <v>1</v>
      </c>
      <c r="P573" s="1" t="b">
        <v>1</v>
      </c>
      <c r="R573" s="1">
        <f t="shared" si="38"/>
        <v>0</v>
      </c>
      <c r="T573" s="1">
        <f t="shared" si="33"/>
        <v>0</v>
      </c>
      <c r="U573" s="1">
        <f t="shared" si="34"/>
        <v>0</v>
      </c>
    </row>
    <row r="574" spans="1:21" x14ac:dyDescent="0.25">
      <c r="A574" s="1" t="s">
        <v>1233</v>
      </c>
      <c r="B574" s="1" t="s">
        <v>1229</v>
      </c>
      <c r="C574" s="1" t="s">
        <v>27</v>
      </c>
      <c r="D574" s="2">
        <v>45115</v>
      </c>
      <c r="E574" s="2">
        <v>45161</v>
      </c>
      <c r="F574" s="2">
        <v>45115</v>
      </c>
      <c r="G574" s="2">
        <v>45161</v>
      </c>
      <c r="H574" s="1" t="s">
        <v>20</v>
      </c>
      <c r="I574" s="1">
        <v>100</v>
      </c>
      <c r="J574" s="1">
        <v>13636206</v>
      </c>
      <c r="L574" s="1" t="s">
        <v>1234</v>
      </c>
      <c r="M574" s="1" t="s">
        <v>1234</v>
      </c>
      <c r="N574" s="1" t="s">
        <v>22</v>
      </c>
      <c r="O574" s="1">
        <v>1</v>
      </c>
      <c r="P574" s="1" t="b">
        <v>1</v>
      </c>
      <c r="Q574" s="1" t="s">
        <v>29</v>
      </c>
      <c r="R574" s="1">
        <f t="shared" si="38"/>
        <v>0</v>
      </c>
      <c r="T574" s="1">
        <f t="shared" si="33"/>
        <v>0</v>
      </c>
      <c r="U574" s="1">
        <f t="shared" si="34"/>
        <v>0</v>
      </c>
    </row>
    <row r="575" spans="1:21" x14ac:dyDescent="0.25">
      <c r="A575" s="1" t="s">
        <v>1235</v>
      </c>
      <c r="B575" s="1" t="s">
        <v>1229</v>
      </c>
      <c r="C575" s="1" t="s">
        <v>31</v>
      </c>
      <c r="D575" s="2">
        <v>45161</v>
      </c>
      <c r="E575" s="2">
        <v>45219</v>
      </c>
      <c r="F575" s="2">
        <v>45161</v>
      </c>
      <c r="G575" s="2">
        <v>45219</v>
      </c>
      <c r="H575" s="1" t="s">
        <v>20</v>
      </c>
      <c r="I575" s="1">
        <v>100</v>
      </c>
      <c r="J575" s="1">
        <v>17045257</v>
      </c>
      <c r="L575" s="1" t="s">
        <v>1236</v>
      </c>
      <c r="M575" s="1" t="s">
        <v>1236</v>
      </c>
      <c r="N575" s="1" t="s">
        <v>22</v>
      </c>
      <c r="O575" s="1">
        <v>1</v>
      </c>
      <c r="P575" s="1" t="b">
        <v>1</v>
      </c>
      <c r="R575" s="1">
        <f t="shared" si="38"/>
        <v>0</v>
      </c>
      <c r="T575" s="1">
        <f t="shared" si="33"/>
        <v>0</v>
      </c>
      <c r="U575" s="1">
        <f t="shared" si="34"/>
        <v>0</v>
      </c>
    </row>
    <row r="576" spans="1:21" x14ac:dyDescent="0.25">
      <c r="A576" s="1" t="s">
        <v>1237</v>
      </c>
      <c r="B576" s="1" t="s">
        <v>1229</v>
      </c>
      <c r="C576" s="1" t="s">
        <v>34</v>
      </c>
      <c r="D576" s="2">
        <v>45219</v>
      </c>
      <c r="E576" s="2">
        <v>45316</v>
      </c>
      <c r="F576" s="2">
        <v>45219</v>
      </c>
      <c r="G576" s="2">
        <v>45316</v>
      </c>
      <c r="H576" s="1" t="s">
        <v>20</v>
      </c>
      <c r="I576" s="1">
        <v>100</v>
      </c>
      <c r="J576" s="1">
        <v>28408762</v>
      </c>
      <c r="L576" s="1" t="s">
        <v>1238</v>
      </c>
      <c r="M576" s="1" t="s">
        <v>1238</v>
      </c>
      <c r="N576" s="1" t="s">
        <v>22</v>
      </c>
      <c r="O576" s="1">
        <v>1</v>
      </c>
      <c r="P576" s="1" t="b">
        <v>1</v>
      </c>
      <c r="Q576" s="1" t="s">
        <v>29</v>
      </c>
      <c r="R576" s="1">
        <f t="shared" si="38"/>
        <v>0</v>
      </c>
      <c r="T576" s="1">
        <f t="shared" si="33"/>
        <v>0</v>
      </c>
      <c r="U576" s="1">
        <f t="shared" si="34"/>
        <v>0</v>
      </c>
    </row>
    <row r="577" spans="1:21" x14ac:dyDescent="0.25">
      <c r="A577" s="1" t="s">
        <v>1239</v>
      </c>
      <c r="B577" s="1" t="s">
        <v>1229</v>
      </c>
      <c r="C577" s="1" t="s">
        <v>37</v>
      </c>
      <c r="D577" s="2">
        <v>45316</v>
      </c>
      <c r="E577" s="2">
        <v>45355</v>
      </c>
      <c r="F577" s="2">
        <v>45316</v>
      </c>
      <c r="G577" s="2">
        <v>45355</v>
      </c>
      <c r="H577" s="1" t="s">
        <v>20</v>
      </c>
      <c r="I577" s="1">
        <v>100</v>
      </c>
      <c r="J577" s="1">
        <v>11363505</v>
      </c>
      <c r="L577" s="1" t="s">
        <v>1240</v>
      </c>
      <c r="M577" s="1" t="s">
        <v>1240</v>
      </c>
      <c r="N577" s="1" t="s">
        <v>22</v>
      </c>
      <c r="O577" s="1">
        <v>1</v>
      </c>
      <c r="P577" s="1" t="b">
        <v>1</v>
      </c>
      <c r="R577" s="1">
        <f t="shared" si="38"/>
        <v>0</v>
      </c>
      <c r="T577" s="1">
        <f t="shared" si="33"/>
        <v>0</v>
      </c>
      <c r="U577" s="1">
        <f t="shared" si="34"/>
        <v>0</v>
      </c>
    </row>
    <row r="578" spans="1:21" x14ac:dyDescent="0.25">
      <c r="A578" s="1" t="s">
        <v>1241</v>
      </c>
      <c r="B578" s="1" t="s">
        <v>1229</v>
      </c>
      <c r="C578" s="1" t="s">
        <v>41</v>
      </c>
      <c r="D578" s="2">
        <v>45355</v>
      </c>
      <c r="E578" s="2">
        <v>45386</v>
      </c>
      <c r="F578" s="2">
        <v>45355</v>
      </c>
      <c r="G578" s="2">
        <v>45386</v>
      </c>
      <c r="H578" s="1" t="s">
        <v>20</v>
      </c>
      <c r="I578" s="1">
        <v>100</v>
      </c>
      <c r="J578" s="1">
        <v>9090804</v>
      </c>
      <c r="L578" s="1" t="s">
        <v>1242</v>
      </c>
      <c r="M578" s="1" t="s">
        <v>1242</v>
      </c>
      <c r="N578" s="1" t="s">
        <v>22</v>
      </c>
      <c r="O578" s="1">
        <v>1</v>
      </c>
      <c r="P578" s="1" t="b">
        <v>1</v>
      </c>
      <c r="R578" s="1">
        <f t="shared" si="38"/>
        <v>0</v>
      </c>
      <c r="T578" s="1">
        <f t="shared" si="33"/>
        <v>0</v>
      </c>
      <c r="U578" s="1">
        <f t="shared" si="34"/>
        <v>0</v>
      </c>
    </row>
    <row r="579" spans="1:21" x14ac:dyDescent="0.25">
      <c r="A579" s="1" t="s">
        <v>1243</v>
      </c>
      <c r="B579" s="1" t="s">
        <v>1229</v>
      </c>
      <c r="C579" s="1" t="s">
        <v>45</v>
      </c>
      <c r="D579" s="2">
        <v>45386</v>
      </c>
      <c r="E579" s="2">
        <v>45425</v>
      </c>
      <c r="F579" s="2">
        <v>45386</v>
      </c>
      <c r="G579" s="2">
        <v>45425</v>
      </c>
      <c r="H579" s="1" t="s">
        <v>20</v>
      </c>
      <c r="I579" s="1">
        <v>100</v>
      </c>
      <c r="J579" s="1">
        <v>11363505</v>
      </c>
      <c r="L579" s="1" t="s">
        <v>1244</v>
      </c>
      <c r="M579" s="1" t="s">
        <v>1244</v>
      </c>
      <c r="N579" s="1" t="s">
        <v>22</v>
      </c>
      <c r="O579" s="1">
        <v>1</v>
      </c>
      <c r="P579" s="1" t="b">
        <v>1</v>
      </c>
      <c r="R579" s="1">
        <f t="shared" si="38"/>
        <v>0</v>
      </c>
      <c r="T579" s="1">
        <f t="shared" ref="T579:T642" si="39">IF(S579&gt;0,1,0)</f>
        <v>0</v>
      </c>
      <c r="U579" s="1">
        <f t="shared" ref="U579:U642" si="40">IF(S579&gt;0,S579,0)</f>
        <v>0</v>
      </c>
    </row>
    <row r="580" spans="1:21" x14ac:dyDescent="0.25">
      <c r="A580" s="1" t="s">
        <v>1245</v>
      </c>
      <c r="B580" s="1" t="s">
        <v>1229</v>
      </c>
      <c r="C580" s="1" t="s">
        <v>48</v>
      </c>
      <c r="D580" s="2">
        <v>45425</v>
      </c>
      <c r="E580" s="2">
        <v>45436</v>
      </c>
      <c r="F580" s="2">
        <v>45425</v>
      </c>
      <c r="G580" s="2">
        <v>45436</v>
      </c>
      <c r="H580" s="1" t="s">
        <v>20</v>
      </c>
      <c r="I580" s="1">
        <v>100</v>
      </c>
      <c r="J580" s="1">
        <v>3409051</v>
      </c>
      <c r="L580" s="1" t="s">
        <v>1246</v>
      </c>
      <c r="M580" s="1" t="s">
        <v>1246</v>
      </c>
      <c r="N580" s="1" t="s">
        <v>22</v>
      </c>
      <c r="O580" s="1">
        <v>1</v>
      </c>
      <c r="P580" s="1" t="b">
        <v>1</v>
      </c>
      <c r="R580" s="1">
        <f t="shared" si="38"/>
        <v>0</v>
      </c>
      <c r="T580" s="1">
        <f t="shared" si="39"/>
        <v>0</v>
      </c>
      <c r="U580" s="1">
        <f t="shared" si="40"/>
        <v>0</v>
      </c>
    </row>
    <row r="581" spans="1:21" x14ac:dyDescent="0.25">
      <c r="A581" s="1" t="s">
        <v>1247</v>
      </c>
      <c r="B581" s="1" t="s">
        <v>1229</v>
      </c>
      <c r="C581" s="1" t="s">
        <v>51</v>
      </c>
      <c r="D581" s="2">
        <v>45436</v>
      </c>
      <c r="E581" s="2">
        <v>45443</v>
      </c>
      <c r="F581" s="2">
        <v>45436</v>
      </c>
      <c r="G581" s="2">
        <v>45443</v>
      </c>
      <c r="H581" s="1" t="s">
        <v>20</v>
      </c>
      <c r="I581" s="1">
        <v>100</v>
      </c>
      <c r="J581" s="1">
        <v>2272701</v>
      </c>
      <c r="L581" s="1" t="s">
        <v>1248</v>
      </c>
      <c r="M581" s="1" t="s">
        <v>1248</v>
      </c>
      <c r="N581" s="1" t="s">
        <v>22</v>
      </c>
      <c r="O581" s="1">
        <v>1</v>
      </c>
      <c r="P581" s="1" t="b">
        <v>1</v>
      </c>
      <c r="R581" s="1">
        <f t="shared" si="38"/>
        <v>0</v>
      </c>
      <c r="T581" s="1">
        <f t="shared" si="39"/>
        <v>0</v>
      </c>
      <c r="U581" s="1">
        <f t="shared" si="40"/>
        <v>0</v>
      </c>
    </row>
    <row r="582" spans="1:21" x14ac:dyDescent="0.25">
      <c r="A582" s="1" t="s">
        <v>1249</v>
      </c>
      <c r="B582" s="1" t="s">
        <v>1250</v>
      </c>
      <c r="C582" s="1" t="s">
        <v>19</v>
      </c>
      <c r="D582" s="2">
        <v>44068</v>
      </c>
      <c r="E582" s="2">
        <v>44096</v>
      </c>
      <c r="F582" s="2">
        <v>44068</v>
      </c>
      <c r="G582" s="2">
        <v>44096</v>
      </c>
      <c r="H582" s="1" t="s">
        <v>20</v>
      </c>
      <c r="I582" s="1">
        <v>100</v>
      </c>
      <c r="J582" s="1">
        <v>2751549</v>
      </c>
      <c r="L582" s="1" t="s">
        <v>1251</v>
      </c>
      <c r="M582" s="1" t="s">
        <v>1251</v>
      </c>
      <c r="N582" s="1" t="s">
        <v>22</v>
      </c>
      <c r="O582" s="1">
        <v>1</v>
      </c>
      <c r="P582" s="1" t="b">
        <v>1</v>
      </c>
      <c r="R582" s="1">
        <f t="shared" si="38"/>
        <v>0</v>
      </c>
      <c r="T582" s="1">
        <f t="shared" si="39"/>
        <v>0</v>
      </c>
      <c r="U582" s="1">
        <f t="shared" si="40"/>
        <v>0</v>
      </c>
    </row>
    <row r="583" spans="1:21" x14ac:dyDescent="0.25">
      <c r="A583" s="1" t="s">
        <v>1252</v>
      </c>
      <c r="B583" s="1" t="s">
        <v>1250</v>
      </c>
      <c r="C583" s="1" t="s">
        <v>24</v>
      </c>
      <c r="D583" s="2">
        <v>44096</v>
      </c>
      <c r="E583" s="2">
        <v>44153</v>
      </c>
      <c r="F583" s="2">
        <v>44096</v>
      </c>
      <c r="G583" s="2">
        <v>44153</v>
      </c>
      <c r="H583" s="1" t="s">
        <v>20</v>
      </c>
      <c r="I583" s="1">
        <v>100</v>
      </c>
      <c r="J583" s="1">
        <v>5503098</v>
      </c>
      <c r="L583" s="1" t="s">
        <v>1253</v>
      </c>
      <c r="M583" s="1" t="s">
        <v>1253</v>
      </c>
      <c r="N583" s="1" t="s">
        <v>22</v>
      </c>
      <c r="O583" s="1">
        <v>1</v>
      </c>
      <c r="P583" s="1" t="b">
        <v>1</v>
      </c>
      <c r="R583" s="1">
        <f t="shared" si="38"/>
        <v>0</v>
      </c>
      <c r="T583" s="1">
        <f t="shared" si="39"/>
        <v>0</v>
      </c>
      <c r="U583" s="1">
        <f t="shared" si="40"/>
        <v>0</v>
      </c>
    </row>
    <row r="584" spans="1:21" x14ac:dyDescent="0.25">
      <c r="A584" s="1" t="s">
        <v>1254</v>
      </c>
      <c r="B584" s="1" t="s">
        <v>1250</v>
      </c>
      <c r="C584" s="1" t="s">
        <v>27</v>
      </c>
      <c r="D584" s="2">
        <v>44153</v>
      </c>
      <c r="E584" s="2">
        <v>44221</v>
      </c>
      <c r="F584" s="2">
        <v>44153</v>
      </c>
      <c r="G584" s="2">
        <v>44221</v>
      </c>
      <c r="H584" s="1" t="s">
        <v>20</v>
      </c>
      <c r="I584" s="1">
        <v>100</v>
      </c>
      <c r="J584" s="1">
        <v>6603717</v>
      </c>
      <c r="L584" s="1" t="s">
        <v>1255</v>
      </c>
      <c r="M584" s="1" t="s">
        <v>1255</v>
      </c>
      <c r="N584" s="1" t="s">
        <v>22</v>
      </c>
      <c r="O584" s="1">
        <v>1</v>
      </c>
      <c r="P584" s="1" t="b">
        <v>1</v>
      </c>
      <c r="Q584" s="1" t="s">
        <v>29</v>
      </c>
      <c r="R584" s="1">
        <f t="shared" si="38"/>
        <v>0</v>
      </c>
      <c r="T584" s="1">
        <f t="shared" si="39"/>
        <v>0</v>
      </c>
      <c r="U584" s="1">
        <f t="shared" si="40"/>
        <v>0</v>
      </c>
    </row>
    <row r="585" spans="1:21" x14ac:dyDescent="0.25">
      <c r="A585" s="1" t="s">
        <v>1256</v>
      </c>
      <c r="B585" s="1" t="s">
        <v>1250</v>
      </c>
      <c r="C585" s="1" t="s">
        <v>31</v>
      </c>
      <c r="D585" s="2">
        <v>44221</v>
      </c>
      <c r="E585" s="2">
        <v>44306</v>
      </c>
      <c r="F585" s="2">
        <v>44221</v>
      </c>
      <c r="G585" s="2">
        <v>44306</v>
      </c>
      <c r="H585" s="1" t="s">
        <v>20</v>
      </c>
      <c r="I585" s="1">
        <v>100</v>
      </c>
      <c r="J585" s="1">
        <v>8254647</v>
      </c>
      <c r="L585" s="1" t="s">
        <v>1257</v>
      </c>
      <c r="M585" s="1" t="s">
        <v>1257</v>
      </c>
      <c r="N585" s="1" t="s">
        <v>22</v>
      </c>
      <c r="O585" s="1">
        <v>1</v>
      </c>
      <c r="P585" s="1" t="b">
        <v>1</v>
      </c>
      <c r="R585" s="1">
        <f t="shared" si="38"/>
        <v>0</v>
      </c>
      <c r="T585" s="1">
        <f t="shared" si="39"/>
        <v>0</v>
      </c>
      <c r="U585" s="1">
        <f t="shared" si="40"/>
        <v>0</v>
      </c>
    </row>
    <row r="586" spans="1:21" x14ac:dyDescent="0.25">
      <c r="A586" s="1" t="s">
        <v>1258</v>
      </c>
      <c r="B586" s="1" t="s">
        <v>1250</v>
      </c>
      <c r="C586" s="1" t="s">
        <v>34</v>
      </c>
      <c r="D586" s="2">
        <v>44306</v>
      </c>
      <c r="E586" s="2">
        <v>44448</v>
      </c>
      <c r="F586" s="2">
        <v>44306</v>
      </c>
      <c r="G586" s="2">
        <v>44448</v>
      </c>
      <c r="H586" s="1" t="s">
        <v>20</v>
      </c>
      <c r="I586" s="1">
        <v>100</v>
      </c>
      <c r="J586" s="1">
        <v>13757745</v>
      </c>
      <c r="L586" s="1" t="s">
        <v>1259</v>
      </c>
      <c r="M586" s="1" t="s">
        <v>1259</v>
      </c>
      <c r="N586" s="1" t="s">
        <v>22</v>
      </c>
      <c r="O586" s="1">
        <v>1</v>
      </c>
      <c r="P586" s="1" t="b">
        <v>1</v>
      </c>
      <c r="Q586" s="1" t="s">
        <v>29</v>
      </c>
      <c r="R586" s="1">
        <f t="shared" si="38"/>
        <v>0</v>
      </c>
      <c r="T586" s="1">
        <f t="shared" si="39"/>
        <v>0</v>
      </c>
      <c r="U586" s="1">
        <f t="shared" si="40"/>
        <v>0</v>
      </c>
    </row>
    <row r="587" spans="1:21" x14ac:dyDescent="0.25">
      <c r="A587" s="1" t="s">
        <v>1260</v>
      </c>
      <c r="B587" s="1" t="s">
        <v>1250</v>
      </c>
      <c r="C587" s="1" t="s">
        <v>37</v>
      </c>
      <c r="D587" s="2">
        <v>44448</v>
      </c>
      <c r="E587" s="2">
        <v>44505</v>
      </c>
      <c r="F587" s="2">
        <v>44448</v>
      </c>
      <c r="G587" s="2">
        <v>44505</v>
      </c>
      <c r="H587" s="1" t="s">
        <v>20</v>
      </c>
      <c r="I587" s="1">
        <v>100</v>
      </c>
      <c r="J587" s="1">
        <v>5503098</v>
      </c>
      <c r="L587" s="1" t="s">
        <v>1261</v>
      </c>
      <c r="M587" s="1" t="s">
        <v>1261</v>
      </c>
      <c r="N587" s="1" t="s">
        <v>22</v>
      </c>
      <c r="O587" s="1">
        <v>1</v>
      </c>
      <c r="P587" s="1" t="b">
        <v>1</v>
      </c>
      <c r="R587" s="1">
        <f t="shared" si="38"/>
        <v>0</v>
      </c>
      <c r="T587" s="1">
        <f t="shared" si="39"/>
        <v>0</v>
      </c>
      <c r="U587" s="1">
        <f t="shared" si="40"/>
        <v>0</v>
      </c>
    </row>
    <row r="588" spans="1:21" x14ac:dyDescent="0.25">
      <c r="A588" s="1" t="s">
        <v>1262</v>
      </c>
      <c r="B588" s="1" t="s">
        <v>1250</v>
      </c>
      <c r="C588" s="1" t="s">
        <v>41</v>
      </c>
      <c r="D588" s="2">
        <v>44505</v>
      </c>
      <c r="E588" s="2">
        <v>44550</v>
      </c>
      <c r="F588" s="2">
        <v>44505</v>
      </c>
      <c r="G588" s="2">
        <v>44550</v>
      </c>
      <c r="H588" s="1" t="s">
        <v>20</v>
      </c>
      <c r="I588" s="1">
        <v>100</v>
      </c>
      <c r="J588" s="1">
        <v>4402478</v>
      </c>
      <c r="L588" s="1" t="s">
        <v>1263</v>
      </c>
      <c r="M588" s="1" t="s">
        <v>1263</v>
      </c>
      <c r="N588" s="1" t="s">
        <v>22</v>
      </c>
      <c r="O588" s="1">
        <v>1</v>
      </c>
      <c r="P588" s="1" t="b">
        <v>1</v>
      </c>
      <c r="R588" s="1">
        <f t="shared" si="38"/>
        <v>0</v>
      </c>
      <c r="T588" s="1">
        <f t="shared" si="39"/>
        <v>0</v>
      </c>
      <c r="U588" s="1">
        <f t="shared" si="40"/>
        <v>0</v>
      </c>
    </row>
    <row r="589" spans="1:21" x14ac:dyDescent="0.25">
      <c r="A589" s="1" t="s">
        <v>1264</v>
      </c>
      <c r="B589" s="1" t="s">
        <v>1250</v>
      </c>
      <c r="C589" s="1" t="s">
        <v>45</v>
      </c>
      <c r="D589" s="2">
        <v>44550</v>
      </c>
      <c r="E589" s="2">
        <v>44607</v>
      </c>
      <c r="F589" s="2">
        <v>44550</v>
      </c>
      <c r="G589" s="2">
        <v>44607</v>
      </c>
      <c r="H589" s="1" t="s">
        <v>20</v>
      </c>
      <c r="I589" s="1">
        <v>100</v>
      </c>
      <c r="J589" s="1">
        <v>5503098</v>
      </c>
      <c r="L589" s="1" t="s">
        <v>1265</v>
      </c>
      <c r="M589" s="1" t="s">
        <v>1265</v>
      </c>
      <c r="N589" s="1" t="s">
        <v>22</v>
      </c>
      <c r="O589" s="1">
        <v>1</v>
      </c>
      <c r="P589" s="1" t="b">
        <v>1</v>
      </c>
      <c r="R589" s="1">
        <f t="shared" si="38"/>
        <v>0</v>
      </c>
      <c r="T589" s="1">
        <f t="shared" si="39"/>
        <v>0</v>
      </c>
      <c r="U589" s="1">
        <f t="shared" si="40"/>
        <v>0</v>
      </c>
    </row>
    <row r="590" spans="1:21" x14ac:dyDescent="0.25">
      <c r="A590" s="1" t="s">
        <v>1266</v>
      </c>
      <c r="B590" s="1" t="s">
        <v>1250</v>
      </c>
      <c r="C590" s="1" t="s">
        <v>48</v>
      </c>
      <c r="D590" s="2">
        <v>44607</v>
      </c>
      <c r="E590" s="2">
        <v>44624</v>
      </c>
      <c r="F590" s="2">
        <v>44607</v>
      </c>
      <c r="G590" s="2">
        <v>44624</v>
      </c>
      <c r="H590" s="1" t="s">
        <v>20</v>
      </c>
      <c r="I590" s="1">
        <v>100</v>
      </c>
      <c r="J590" s="1">
        <v>1650929</v>
      </c>
      <c r="L590" s="1" t="s">
        <v>1267</v>
      </c>
      <c r="M590" s="1" t="s">
        <v>1267</v>
      </c>
      <c r="N590" s="1" t="s">
        <v>22</v>
      </c>
      <c r="O590" s="1">
        <v>1</v>
      </c>
      <c r="P590" s="1" t="b">
        <v>1</v>
      </c>
      <c r="R590" s="1">
        <f t="shared" si="38"/>
        <v>0</v>
      </c>
      <c r="T590" s="1">
        <f t="shared" si="39"/>
        <v>0</v>
      </c>
      <c r="U590" s="1">
        <f t="shared" si="40"/>
        <v>0</v>
      </c>
    </row>
    <row r="591" spans="1:21" x14ac:dyDescent="0.25">
      <c r="A591" s="1" t="s">
        <v>1268</v>
      </c>
      <c r="B591" s="1" t="s">
        <v>1250</v>
      </c>
      <c r="C591" s="1" t="s">
        <v>51</v>
      </c>
      <c r="D591" s="2">
        <v>44624</v>
      </c>
      <c r="E591" s="2">
        <v>44635</v>
      </c>
      <c r="F591" s="2">
        <v>44624</v>
      </c>
      <c r="G591" s="2">
        <v>44635</v>
      </c>
      <c r="H591" s="1" t="s">
        <v>20</v>
      </c>
      <c r="I591" s="1">
        <v>100</v>
      </c>
      <c r="J591" s="1">
        <v>1100619</v>
      </c>
      <c r="L591" s="1" t="s">
        <v>1269</v>
      </c>
      <c r="M591" s="1" t="s">
        <v>1269</v>
      </c>
      <c r="N591" s="1" t="s">
        <v>22</v>
      </c>
      <c r="O591" s="1">
        <v>1</v>
      </c>
      <c r="P591" s="1" t="b">
        <v>1</v>
      </c>
      <c r="R591" s="1">
        <f t="shared" si="38"/>
        <v>0</v>
      </c>
      <c r="T591" s="1">
        <f t="shared" si="39"/>
        <v>0</v>
      </c>
      <c r="U591" s="1">
        <f t="shared" si="40"/>
        <v>0</v>
      </c>
    </row>
    <row r="592" spans="1:21" x14ac:dyDescent="0.25">
      <c r="A592" s="1" t="s">
        <v>1270</v>
      </c>
      <c r="B592" s="1" t="s">
        <v>1271</v>
      </c>
      <c r="C592" s="1" t="s">
        <v>19</v>
      </c>
      <c r="D592" s="2">
        <v>45328</v>
      </c>
      <c r="E592" s="2">
        <v>45395</v>
      </c>
      <c r="F592" s="2">
        <v>45328</v>
      </c>
      <c r="G592" s="2">
        <v>45395</v>
      </c>
      <c r="H592" s="1" t="s">
        <v>20</v>
      </c>
      <c r="I592" s="1">
        <v>100</v>
      </c>
      <c r="J592" s="1">
        <v>11764707</v>
      </c>
      <c r="L592" s="1" t="s">
        <v>1272</v>
      </c>
      <c r="M592" s="1" t="s">
        <v>1272</v>
      </c>
      <c r="N592" s="1" t="s">
        <v>22</v>
      </c>
      <c r="O592" s="1">
        <v>1</v>
      </c>
      <c r="P592" s="1" t="b">
        <v>1</v>
      </c>
      <c r="R592" s="1">
        <f t="shared" si="38"/>
        <v>0</v>
      </c>
      <c r="T592" s="1">
        <f t="shared" si="39"/>
        <v>0</v>
      </c>
      <c r="U592" s="1">
        <f t="shared" si="40"/>
        <v>0</v>
      </c>
    </row>
    <row r="593" spans="1:21" x14ac:dyDescent="0.25">
      <c r="A593" s="1" t="s">
        <v>1273</v>
      </c>
      <c r="B593" s="1" t="s">
        <v>1271</v>
      </c>
      <c r="C593" s="1" t="s">
        <v>24</v>
      </c>
      <c r="D593" s="2">
        <v>45395</v>
      </c>
      <c r="E593" s="2">
        <v>45530</v>
      </c>
      <c r="F593" s="2">
        <v>45395</v>
      </c>
      <c r="G593" s="2">
        <v>45530</v>
      </c>
      <c r="H593" s="1" t="s">
        <v>20</v>
      </c>
      <c r="I593" s="1">
        <v>100</v>
      </c>
      <c r="J593" s="1">
        <v>23529414</v>
      </c>
      <c r="L593" s="1" t="s">
        <v>1274</v>
      </c>
      <c r="M593" s="1" t="s">
        <v>1274</v>
      </c>
      <c r="N593" s="1" t="s">
        <v>22</v>
      </c>
      <c r="O593" s="1">
        <v>1</v>
      </c>
      <c r="P593" s="1" t="b">
        <v>1</v>
      </c>
      <c r="R593" s="1">
        <f t="shared" si="38"/>
        <v>0</v>
      </c>
      <c r="T593" s="1">
        <f t="shared" si="39"/>
        <v>0</v>
      </c>
      <c r="U593" s="1">
        <f t="shared" si="40"/>
        <v>0</v>
      </c>
    </row>
    <row r="594" spans="1:21" x14ac:dyDescent="0.25">
      <c r="A594" s="1" t="s">
        <v>1275</v>
      </c>
      <c r="B594" s="1" t="s">
        <v>1271</v>
      </c>
      <c r="C594" s="1" t="s">
        <v>27</v>
      </c>
      <c r="D594" s="2">
        <v>45530</v>
      </c>
      <c r="E594" s="2">
        <v>45692</v>
      </c>
      <c r="F594" s="2">
        <v>45530</v>
      </c>
      <c r="G594" s="2">
        <v>45692</v>
      </c>
      <c r="H594" s="1" t="s">
        <v>20</v>
      </c>
      <c r="I594" s="1">
        <v>100</v>
      </c>
      <c r="J594" s="1">
        <v>28235297</v>
      </c>
      <c r="L594" s="1" t="s">
        <v>1276</v>
      </c>
      <c r="M594" s="1" t="s">
        <v>1276</v>
      </c>
      <c r="N594" s="1" t="s">
        <v>22</v>
      </c>
      <c r="O594" s="1">
        <v>1</v>
      </c>
      <c r="P594" s="1" t="b">
        <v>1</v>
      </c>
      <c r="Q594" s="1" t="s">
        <v>29</v>
      </c>
      <c r="R594" s="1">
        <f t="shared" si="38"/>
        <v>0</v>
      </c>
      <c r="T594" s="1">
        <f t="shared" si="39"/>
        <v>0</v>
      </c>
      <c r="U594" s="1">
        <f t="shared" si="40"/>
        <v>0</v>
      </c>
    </row>
    <row r="595" spans="1:21" x14ac:dyDescent="0.25">
      <c r="A595" s="1" t="s">
        <v>1277</v>
      </c>
      <c r="B595" s="1" t="s">
        <v>1271</v>
      </c>
      <c r="C595" s="1" t="s">
        <v>31</v>
      </c>
      <c r="D595" s="2">
        <v>45692</v>
      </c>
      <c r="E595" s="2">
        <v>45894</v>
      </c>
      <c r="F595" s="2">
        <v>45692</v>
      </c>
      <c r="G595" s="2">
        <v>45894</v>
      </c>
      <c r="H595" s="1" t="s">
        <v>20</v>
      </c>
      <c r="I595" s="1">
        <v>100</v>
      </c>
      <c r="J595" s="1">
        <v>35294121</v>
      </c>
      <c r="L595" s="1" t="s">
        <v>1278</v>
      </c>
      <c r="M595" s="1" t="s">
        <v>1278</v>
      </c>
      <c r="N595" s="1" t="s">
        <v>22</v>
      </c>
      <c r="O595" s="1">
        <v>1</v>
      </c>
      <c r="P595" s="1" t="b">
        <v>1</v>
      </c>
      <c r="R595" s="1">
        <f t="shared" si="38"/>
        <v>0</v>
      </c>
      <c r="T595" s="1">
        <f t="shared" si="39"/>
        <v>0</v>
      </c>
      <c r="U595" s="1">
        <f t="shared" si="40"/>
        <v>0</v>
      </c>
    </row>
    <row r="596" spans="1:21" x14ac:dyDescent="0.25">
      <c r="A596" s="1" t="s">
        <v>1279</v>
      </c>
      <c r="B596" s="1" t="s">
        <v>1271</v>
      </c>
      <c r="C596" s="1" t="s">
        <v>34</v>
      </c>
      <c r="D596" s="2">
        <v>45894</v>
      </c>
      <c r="E596" s="2">
        <v>46231</v>
      </c>
      <c r="F596" s="2">
        <v>45894</v>
      </c>
      <c r="H596" s="1" t="s">
        <v>38</v>
      </c>
      <c r="I596" s="1">
        <v>64</v>
      </c>
      <c r="J596" s="1">
        <v>58823535</v>
      </c>
      <c r="L596" s="1" t="s">
        <v>1280</v>
      </c>
      <c r="M596" s="1" t="s">
        <v>1280</v>
      </c>
      <c r="N596" s="1" t="s">
        <v>22</v>
      </c>
      <c r="O596" s="1">
        <v>1</v>
      </c>
      <c r="P596" s="1" t="b">
        <v>1</v>
      </c>
      <c r="Q596" s="1" t="s">
        <v>29</v>
      </c>
      <c r="S596" s="1">
        <f t="shared" ref="S596:S601" si="41">R$7-E596</f>
        <v>63</v>
      </c>
      <c r="T596" s="1">
        <f t="shared" si="39"/>
        <v>1</v>
      </c>
      <c r="U596" s="1">
        <f t="shared" si="40"/>
        <v>63</v>
      </c>
    </row>
    <row r="597" spans="1:21" x14ac:dyDescent="0.25">
      <c r="A597" s="1" t="s">
        <v>1281</v>
      </c>
      <c r="B597" s="1" t="s">
        <v>1271</v>
      </c>
      <c r="C597" s="1" t="s">
        <v>37</v>
      </c>
      <c r="D597" s="2">
        <v>46231</v>
      </c>
      <c r="E597" s="2">
        <v>46366</v>
      </c>
      <c r="H597" s="1" t="s">
        <v>42</v>
      </c>
      <c r="I597" s="1">
        <v>0</v>
      </c>
      <c r="J597" s="1">
        <v>23529414</v>
      </c>
      <c r="L597" s="1" t="s">
        <v>1282</v>
      </c>
      <c r="M597" s="1" t="s">
        <v>1282</v>
      </c>
      <c r="N597" s="1" t="s">
        <v>22</v>
      </c>
      <c r="O597" s="1">
        <v>1</v>
      </c>
      <c r="P597" s="1" t="b">
        <v>1</v>
      </c>
      <c r="S597" s="1">
        <f t="shared" si="41"/>
        <v>-72</v>
      </c>
      <c r="T597" s="1">
        <f t="shared" si="39"/>
        <v>0</v>
      </c>
      <c r="U597" s="1">
        <f t="shared" si="40"/>
        <v>0</v>
      </c>
    </row>
    <row r="598" spans="1:21" x14ac:dyDescent="0.25">
      <c r="A598" s="1" t="s">
        <v>1283</v>
      </c>
      <c r="B598" s="1" t="s">
        <v>1271</v>
      </c>
      <c r="C598" s="1" t="s">
        <v>41</v>
      </c>
      <c r="D598" s="2">
        <v>46366</v>
      </c>
      <c r="E598" s="2">
        <v>46474</v>
      </c>
      <c r="H598" s="1" t="s">
        <v>42</v>
      </c>
      <c r="I598" s="1">
        <v>0</v>
      </c>
      <c r="J598" s="1">
        <v>18823531</v>
      </c>
      <c r="L598" s="1" t="s">
        <v>1284</v>
      </c>
      <c r="M598" s="1" t="s">
        <v>1284</v>
      </c>
      <c r="N598" s="1" t="s">
        <v>22</v>
      </c>
      <c r="O598" s="1">
        <v>1</v>
      </c>
      <c r="P598" s="1" t="b">
        <v>1</v>
      </c>
      <c r="S598" s="1">
        <f t="shared" si="41"/>
        <v>-180</v>
      </c>
      <c r="T598" s="1">
        <f t="shared" si="39"/>
        <v>0</v>
      </c>
      <c r="U598" s="1">
        <f t="shared" si="40"/>
        <v>0</v>
      </c>
    </row>
    <row r="599" spans="1:21" x14ac:dyDescent="0.25">
      <c r="A599" s="1" t="s">
        <v>1285</v>
      </c>
      <c r="B599" s="1" t="s">
        <v>1271</v>
      </c>
      <c r="C599" s="1" t="s">
        <v>45</v>
      </c>
      <c r="D599" s="2">
        <v>46474</v>
      </c>
      <c r="E599" s="2">
        <v>46609</v>
      </c>
      <c r="H599" s="1" t="s">
        <v>42</v>
      </c>
      <c r="I599" s="1">
        <v>0</v>
      </c>
      <c r="J599" s="1">
        <v>23529414</v>
      </c>
      <c r="L599" s="1" t="s">
        <v>1286</v>
      </c>
      <c r="M599" s="1" t="s">
        <v>1286</v>
      </c>
      <c r="N599" s="1" t="s">
        <v>22</v>
      </c>
      <c r="O599" s="1">
        <v>1</v>
      </c>
      <c r="P599" s="1" t="b">
        <v>1</v>
      </c>
      <c r="S599" s="1">
        <f t="shared" si="41"/>
        <v>-315</v>
      </c>
      <c r="T599" s="1">
        <f t="shared" si="39"/>
        <v>0</v>
      </c>
      <c r="U599" s="1">
        <f t="shared" si="40"/>
        <v>0</v>
      </c>
    </row>
    <row r="600" spans="1:21" x14ac:dyDescent="0.25">
      <c r="A600" s="1" t="s">
        <v>1287</v>
      </c>
      <c r="B600" s="1" t="s">
        <v>1271</v>
      </c>
      <c r="C600" s="1" t="s">
        <v>48</v>
      </c>
      <c r="D600" s="2">
        <v>46609</v>
      </c>
      <c r="E600" s="2">
        <v>46649</v>
      </c>
      <c r="H600" s="1" t="s">
        <v>42</v>
      </c>
      <c r="I600" s="1">
        <v>0</v>
      </c>
      <c r="J600" s="1">
        <v>7058824</v>
      </c>
      <c r="L600" s="1" t="s">
        <v>1288</v>
      </c>
      <c r="M600" s="1" t="s">
        <v>1288</v>
      </c>
      <c r="N600" s="1" t="s">
        <v>22</v>
      </c>
      <c r="O600" s="1">
        <v>1</v>
      </c>
      <c r="P600" s="1" t="b">
        <v>1</v>
      </c>
      <c r="S600" s="1">
        <f t="shared" si="41"/>
        <v>-355</v>
      </c>
      <c r="T600" s="1">
        <f t="shared" si="39"/>
        <v>0</v>
      </c>
      <c r="U600" s="1">
        <f t="shared" si="40"/>
        <v>0</v>
      </c>
    </row>
    <row r="601" spans="1:21" x14ac:dyDescent="0.25">
      <c r="A601" s="1" t="s">
        <v>1289</v>
      </c>
      <c r="B601" s="1" t="s">
        <v>1271</v>
      </c>
      <c r="C601" s="1" t="s">
        <v>51</v>
      </c>
      <c r="D601" s="2">
        <v>46649</v>
      </c>
      <c r="E601" s="2">
        <v>46676</v>
      </c>
      <c r="H601" s="1" t="s">
        <v>42</v>
      </c>
      <c r="I601" s="1">
        <v>0</v>
      </c>
      <c r="J601" s="1">
        <v>4705882</v>
      </c>
      <c r="L601" s="1" t="s">
        <v>1290</v>
      </c>
      <c r="M601" s="1" t="s">
        <v>1290</v>
      </c>
      <c r="N601" s="1" t="s">
        <v>22</v>
      </c>
      <c r="O601" s="1">
        <v>1</v>
      </c>
      <c r="P601" s="1" t="b">
        <v>1</v>
      </c>
      <c r="S601" s="1">
        <f t="shared" si="41"/>
        <v>-382</v>
      </c>
      <c r="T601" s="1">
        <f t="shared" si="39"/>
        <v>0</v>
      </c>
      <c r="U601" s="1">
        <f t="shared" si="40"/>
        <v>0</v>
      </c>
    </row>
    <row r="602" spans="1:21" x14ac:dyDescent="0.25">
      <c r="A602" s="1" t="s">
        <v>1291</v>
      </c>
      <c r="B602" s="1" t="s">
        <v>1292</v>
      </c>
      <c r="C602" s="1" t="s">
        <v>19</v>
      </c>
      <c r="D602" s="2">
        <v>44172</v>
      </c>
      <c r="E602" s="2">
        <v>44241</v>
      </c>
      <c r="F602" s="2">
        <v>44172</v>
      </c>
      <c r="G602" s="2">
        <v>44241</v>
      </c>
      <c r="H602" s="1" t="s">
        <v>20</v>
      </c>
      <c r="I602" s="1">
        <v>100</v>
      </c>
      <c r="J602" s="1">
        <v>11219526</v>
      </c>
      <c r="L602" s="1" t="s">
        <v>1293</v>
      </c>
      <c r="M602" s="1" t="s">
        <v>1293</v>
      </c>
      <c r="N602" s="1" t="s">
        <v>22</v>
      </c>
      <c r="O602" s="1">
        <v>1</v>
      </c>
      <c r="P602" s="1" t="b">
        <v>1</v>
      </c>
      <c r="R602" s="1">
        <f t="shared" ref="R602:R614" si="42">G602-E602</f>
        <v>0</v>
      </c>
      <c r="T602" s="1">
        <f t="shared" si="39"/>
        <v>0</v>
      </c>
      <c r="U602" s="1">
        <f t="shared" si="40"/>
        <v>0</v>
      </c>
    </row>
    <row r="603" spans="1:21" x14ac:dyDescent="0.25">
      <c r="A603" s="1" t="s">
        <v>1294</v>
      </c>
      <c r="B603" s="1" t="s">
        <v>1292</v>
      </c>
      <c r="C603" s="1" t="s">
        <v>24</v>
      </c>
      <c r="D603" s="2">
        <v>44241</v>
      </c>
      <c r="E603" s="2">
        <v>44379</v>
      </c>
      <c r="F603" s="2">
        <v>44241</v>
      </c>
      <c r="G603" s="2">
        <v>44379</v>
      </c>
      <c r="H603" s="1" t="s">
        <v>20</v>
      </c>
      <c r="I603" s="1">
        <v>100</v>
      </c>
      <c r="J603" s="1">
        <v>22439052</v>
      </c>
      <c r="L603" s="1" t="s">
        <v>1295</v>
      </c>
      <c r="M603" s="1" t="s">
        <v>1295</v>
      </c>
      <c r="N603" s="1" t="s">
        <v>22</v>
      </c>
      <c r="O603" s="1">
        <v>1</v>
      </c>
      <c r="P603" s="1" t="b">
        <v>1</v>
      </c>
      <c r="R603" s="1">
        <f t="shared" si="42"/>
        <v>0</v>
      </c>
      <c r="T603" s="1">
        <f t="shared" si="39"/>
        <v>0</v>
      </c>
      <c r="U603" s="1">
        <f t="shared" si="40"/>
        <v>0</v>
      </c>
    </row>
    <row r="604" spans="1:21" x14ac:dyDescent="0.25">
      <c r="A604" s="1" t="s">
        <v>1296</v>
      </c>
      <c r="B604" s="1" t="s">
        <v>1292</v>
      </c>
      <c r="C604" s="1" t="s">
        <v>27</v>
      </c>
      <c r="D604" s="2">
        <v>44379</v>
      </c>
      <c r="E604" s="2">
        <v>44544</v>
      </c>
      <c r="F604" s="2">
        <v>44379</v>
      </c>
      <c r="G604" s="2">
        <v>44544</v>
      </c>
      <c r="H604" s="1" t="s">
        <v>20</v>
      </c>
      <c r="I604" s="1">
        <v>100</v>
      </c>
      <c r="J604" s="1">
        <v>26926863</v>
      </c>
      <c r="L604" s="1" t="s">
        <v>1297</v>
      </c>
      <c r="M604" s="1" t="s">
        <v>1297</v>
      </c>
      <c r="N604" s="1" t="s">
        <v>22</v>
      </c>
      <c r="O604" s="1">
        <v>1</v>
      </c>
      <c r="P604" s="1" t="b">
        <v>1</v>
      </c>
      <c r="Q604" s="1" t="s">
        <v>29</v>
      </c>
      <c r="R604" s="1">
        <f t="shared" si="42"/>
        <v>0</v>
      </c>
      <c r="T604" s="1">
        <f t="shared" si="39"/>
        <v>0</v>
      </c>
      <c r="U604" s="1">
        <f t="shared" si="40"/>
        <v>0</v>
      </c>
    </row>
    <row r="605" spans="1:21" x14ac:dyDescent="0.25">
      <c r="A605" s="1" t="s">
        <v>1298</v>
      </c>
      <c r="B605" s="1" t="s">
        <v>1292</v>
      </c>
      <c r="C605" s="1" t="s">
        <v>31</v>
      </c>
      <c r="D605" s="2">
        <v>44544</v>
      </c>
      <c r="E605" s="2">
        <v>44751</v>
      </c>
      <c r="F605" s="2">
        <v>44544</v>
      </c>
      <c r="G605" s="2">
        <v>44751</v>
      </c>
      <c r="H605" s="1" t="s">
        <v>20</v>
      </c>
      <c r="I605" s="1">
        <v>100</v>
      </c>
      <c r="J605" s="1">
        <v>33658579</v>
      </c>
      <c r="L605" s="1" t="s">
        <v>1299</v>
      </c>
      <c r="M605" s="1" t="s">
        <v>1299</v>
      </c>
      <c r="N605" s="1" t="s">
        <v>22</v>
      </c>
      <c r="O605" s="1">
        <v>1</v>
      </c>
      <c r="P605" s="1" t="b">
        <v>1</v>
      </c>
      <c r="R605" s="1">
        <f t="shared" si="42"/>
        <v>0</v>
      </c>
      <c r="T605" s="1">
        <f t="shared" si="39"/>
        <v>0</v>
      </c>
      <c r="U605" s="1">
        <f t="shared" si="40"/>
        <v>0</v>
      </c>
    </row>
    <row r="606" spans="1:21" x14ac:dyDescent="0.25">
      <c r="A606" s="1" t="s">
        <v>1300</v>
      </c>
      <c r="B606" s="1" t="s">
        <v>1292</v>
      </c>
      <c r="C606" s="1" t="s">
        <v>34</v>
      </c>
      <c r="D606" s="2">
        <v>44751</v>
      </c>
      <c r="E606" s="2">
        <v>45096</v>
      </c>
      <c r="F606" s="2">
        <v>44751</v>
      </c>
      <c r="G606" s="2">
        <v>45096</v>
      </c>
      <c r="H606" s="1" t="s">
        <v>20</v>
      </c>
      <c r="I606" s="1">
        <v>100</v>
      </c>
      <c r="J606" s="1">
        <v>56097632</v>
      </c>
      <c r="L606" s="1" t="s">
        <v>1301</v>
      </c>
      <c r="M606" s="1" t="s">
        <v>1301</v>
      </c>
      <c r="N606" s="1" t="s">
        <v>22</v>
      </c>
      <c r="O606" s="1">
        <v>1</v>
      </c>
      <c r="P606" s="1" t="b">
        <v>1</v>
      </c>
      <c r="Q606" s="1" t="s">
        <v>29</v>
      </c>
      <c r="R606" s="1">
        <f t="shared" si="42"/>
        <v>0</v>
      </c>
      <c r="T606" s="1">
        <f t="shared" si="39"/>
        <v>0</v>
      </c>
      <c r="U606" s="1">
        <f t="shared" si="40"/>
        <v>0</v>
      </c>
    </row>
    <row r="607" spans="1:21" x14ac:dyDescent="0.25">
      <c r="A607" s="1" t="s">
        <v>1302</v>
      </c>
      <c r="B607" s="1" t="s">
        <v>1292</v>
      </c>
      <c r="C607" s="1" t="s">
        <v>37</v>
      </c>
      <c r="D607" s="2">
        <v>45096</v>
      </c>
      <c r="E607" s="2">
        <v>45234</v>
      </c>
      <c r="F607" s="2">
        <v>45096</v>
      </c>
      <c r="G607" s="2">
        <v>45234</v>
      </c>
      <c r="H607" s="1" t="s">
        <v>20</v>
      </c>
      <c r="I607" s="1">
        <v>100</v>
      </c>
      <c r="J607" s="1">
        <v>22439052</v>
      </c>
      <c r="L607" s="1" t="s">
        <v>1303</v>
      </c>
      <c r="M607" s="1" t="s">
        <v>1303</v>
      </c>
      <c r="N607" s="1" t="s">
        <v>22</v>
      </c>
      <c r="O607" s="1">
        <v>1</v>
      </c>
      <c r="P607" s="1" t="b">
        <v>1</v>
      </c>
      <c r="R607" s="1">
        <f t="shared" si="42"/>
        <v>0</v>
      </c>
      <c r="T607" s="1">
        <f t="shared" si="39"/>
        <v>0</v>
      </c>
      <c r="U607" s="1">
        <f t="shared" si="40"/>
        <v>0</v>
      </c>
    </row>
    <row r="608" spans="1:21" x14ac:dyDescent="0.25">
      <c r="A608" s="1" t="s">
        <v>1304</v>
      </c>
      <c r="B608" s="1" t="s">
        <v>1292</v>
      </c>
      <c r="C608" s="1" t="s">
        <v>41</v>
      </c>
      <c r="D608" s="2">
        <v>45234</v>
      </c>
      <c r="E608" s="2">
        <v>45344</v>
      </c>
      <c r="F608" s="2">
        <v>45234</v>
      </c>
      <c r="G608" s="2">
        <v>45344</v>
      </c>
      <c r="H608" s="1" t="s">
        <v>20</v>
      </c>
      <c r="I608" s="1">
        <v>100</v>
      </c>
      <c r="J608" s="1">
        <v>17951242</v>
      </c>
      <c r="L608" s="1" t="s">
        <v>1305</v>
      </c>
      <c r="M608" s="1" t="s">
        <v>1305</v>
      </c>
      <c r="N608" s="1" t="s">
        <v>22</v>
      </c>
      <c r="O608" s="1">
        <v>1</v>
      </c>
      <c r="P608" s="1" t="b">
        <v>1</v>
      </c>
      <c r="R608" s="1">
        <f t="shared" si="42"/>
        <v>0</v>
      </c>
      <c r="T608" s="1">
        <f t="shared" si="39"/>
        <v>0</v>
      </c>
      <c r="U608" s="1">
        <f t="shared" si="40"/>
        <v>0</v>
      </c>
    </row>
    <row r="609" spans="1:21" x14ac:dyDescent="0.25">
      <c r="A609" s="1" t="s">
        <v>1306</v>
      </c>
      <c r="B609" s="1" t="s">
        <v>1292</v>
      </c>
      <c r="C609" s="1" t="s">
        <v>45</v>
      </c>
      <c r="D609" s="2">
        <v>45344</v>
      </c>
      <c r="E609" s="2">
        <v>45482</v>
      </c>
      <c r="F609" s="2">
        <v>45344</v>
      </c>
      <c r="G609" s="2">
        <v>45482</v>
      </c>
      <c r="H609" s="1" t="s">
        <v>20</v>
      </c>
      <c r="I609" s="1">
        <v>100</v>
      </c>
      <c r="J609" s="1">
        <v>22439052</v>
      </c>
      <c r="L609" s="1" t="s">
        <v>1307</v>
      </c>
      <c r="M609" s="1" t="s">
        <v>1307</v>
      </c>
      <c r="N609" s="1" t="s">
        <v>22</v>
      </c>
      <c r="O609" s="1">
        <v>1</v>
      </c>
      <c r="P609" s="1" t="b">
        <v>1</v>
      </c>
      <c r="R609" s="1">
        <f t="shared" si="42"/>
        <v>0</v>
      </c>
      <c r="T609" s="1">
        <f t="shared" si="39"/>
        <v>0</v>
      </c>
      <c r="U609" s="1">
        <f t="shared" si="40"/>
        <v>0</v>
      </c>
    </row>
    <row r="610" spans="1:21" x14ac:dyDescent="0.25">
      <c r="A610" s="1" t="s">
        <v>1308</v>
      </c>
      <c r="B610" s="1" t="s">
        <v>1292</v>
      </c>
      <c r="C610" s="1" t="s">
        <v>48</v>
      </c>
      <c r="D610" s="2">
        <v>45482</v>
      </c>
      <c r="E610" s="2">
        <v>45523</v>
      </c>
      <c r="F610" s="2">
        <v>45482</v>
      </c>
      <c r="G610" s="2">
        <v>45523</v>
      </c>
      <c r="H610" s="1" t="s">
        <v>20</v>
      </c>
      <c r="I610" s="1">
        <v>100</v>
      </c>
      <c r="J610" s="1">
        <v>6731715</v>
      </c>
      <c r="L610" s="1" t="s">
        <v>1309</v>
      </c>
      <c r="M610" s="1" t="s">
        <v>1309</v>
      </c>
      <c r="N610" s="1" t="s">
        <v>22</v>
      </c>
      <c r="O610" s="1">
        <v>1</v>
      </c>
      <c r="P610" s="1" t="b">
        <v>1</v>
      </c>
      <c r="R610" s="1">
        <f t="shared" si="42"/>
        <v>0</v>
      </c>
      <c r="T610" s="1">
        <f t="shared" si="39"/>
        <v>0</v>
      </c>
      <c r="U610" s="1">
        <f t="shared" si="40"/>
        <v>0</v>
      </c>
    </row>
    <row r="611" spans="1:21" x14ac:dyDescent="0.25">
      <c r="A611" s="1" t="s">
        <v>1310</v>
      </c>
      <c r="B611" s="1" t="s">
        <v>1292</v>
      </c>
      <c r="C611" s="1" t="s">
        <v>51</v>
      </c>
      <c r="D611" s="2">
        <v>45523</v>
      </c>
      <c r="E611" s="2">
        <v>45550</v>
      </c>
      <c r="F611" s="2">
        <v>45523</v>
      </c>
      <c r="G611" s="2">
        <v>45550</v>
      </c>
      <c r="H611" s="1" t="s">
        <v>20</v>
      </c>
      <c r="I611" s="1">
        <v>100</v>
      </c>
      <c r="J611" s="1">
        <v>4487810</v>
      </c>
      <c r="L611" s="1" t="s">
        <v>1311</v>
      </c>
      <c r="M611" s="1" t="s">
        <v>1311</v>
      </c>
      <c r="N611" s="1" t="s">
        <v>22</v>
      </c>
      <c r="O611" s="1">
        <v>1</v>
      </c>
      <c r="P611" s="1" t="b">
        <v>1</v>
      </c>
      <c r="R611" s="1">
        <f t="shared" si="42"/>
        <v>0</v>
      </c>
      <c r="T611" s="1">
        <f t="shared" si="39"/>
        <v>0</v>
      </c>
      <c r="U611" s="1">
        <f t="shared" si="40"/>
        <v>0</v>
      </c>
    </row>
    <row r="612" spans="1:21" x14ac:dyDescent="0.25">
      <c r="A612" s="1" t="s">
        <v>1312</v>
      </c>
      <c r="B612" s="1" t="s">
        <v>1313</v>
      </c>
      <c r="C612" s="1" t="s">
        <v>19</v>
      </c>
      <c r="D612" s="2">
        <v>45778</v>
      </c>
      <c r="E612" s="2">
        <v>45830</v>
      </c>
      <c r="F612" s="2">
        <v>45778</v>
      </c>
      <c r="G612" s="2">
        <v>45830</v>
      </c>
      <c r="H612" s="1" t="s">
        <v>20</v>
      </c>
      <c r="I612" s="1">
        <v>100</v>
      </c>
      <c r="J612" s="1">
        <v>3111071</v>
      </c>
      <c r="L612" s="1" t="s">
        <v>1314</v>
      </c>
      <c r="M612" s="1" t="s">
        <v>1314</v>
      </c>
      <c r="N612" s="1" t="s">
        <v>22</v>
      </c>
      <c r="O612" s="1">
        <v>1</v>
      </c>
      <c r="P612" s="1" t="b">
        <v>1</v>
      </c>
      <c r="R612" s="1">
        <f t="shared" si="42"/>
        <v>0</v>
      </c>
      <c r="T612" s="1">
        <f t="shared" si="39"/>
        <v>0</v>
      </c>
      <c r="U612" s="1">
        <f t="shared" si="40"/>
        <v>0</v>
      </c>
    </row>
    <row r="613" spans="1:21" x14ac:dyDescent="0.25">
      <c r="A613" s="1" t="s">
        <v>1315</v>
      </c>
      <c r="B613" s="1" t="s">
        <v>1313</v>
      </c>
      <c r="C613" s="1" t="s">
        <v>24</v>
      </c>
      <c r="D613" s="2">
        <v>45830</v>
      </c>
      <c r="E613" s="2">
        <v>45935</v>
      </c>
      <c r="F613" s="2">
        <v>45830</v>
      </c>
      <c r="G613" s="2">
        <v>45935</v>
      </c>
      <c r="H613" s="1" t="s">
        <v>20</v>
      </c>
      <c r="I613" s="1">
        <v>100</v>
      </c>
      <c r="J613" s="1">
        <v>6222143</v>
      </c>
      <c r="L613" s="1" t="s">
        <v>1316</v>
      </c>
      <c r="M613" s="1" t="s">
        <v>1316</v>
      </c>
      <c r="N613" s="1" t="s">
        <v>22</v>
      </c>
      <c r="O613" s="1">
        <v>1</v>
      </c>
      <c r="P613" s="1" t="b">
        <v>1</v>
      </c>
      <c r="R613" s="1">
        <f t="shared" si="42"/>
        <v>0</v>
      </c>
      <c r="T613" s="1">
        <f t="shared" si="39"/>
        <v>0</v>
      </c>
      <c r="U613" s="1">
        <f t="shared" si="40"/>
        <v>0</v>
      </c>
    </row>
    <row r="614" spans="1:21" x14ac:dyDescent="0.25">
      <c r="A614" s="1" t="s">
        <v>1317</v>
      </c>
      <c r="B614" s="1" t="s">
        <v>1313</v>
      </c>
      <c r="C614" s="1" t="s">
        <v>27</v>
      </c>
      <c r="D614" s="2">
        <v>45935</v>
      </c>
      <c r="E614" s="2">
        <v>46061</v>
      </c>
      <c r="F614" s="2">
        <v>45935</v>
      </c>
      <c r="G614" s="2">
        <v>46061</v>
      </c>
      <c r="H614" s="1" t="s">
        <v>20</v>
      </c>
      <c r="I614" s="1">
        <v>100</v>
      </c>
      <c r="J614" s="1">
        <v>7466571</v>
      </c>
      <c r="L614" s="1" t="s">
        <v>1318</v>
      </c>
      <c r="M614" s="1" t="s">
        <v>1318</v>
      </c>
      <c r="N614" s="1" t="s">
        <v>22</v>
      </c>
      <c r="O614" s="1">
        <v>1</v>
      </c>
      <c r="P614" s="1" t="b">
        <v>1</v>
      </c>
      <c r="Q614" s="1" t="s">
        <v>29</v>
      </c>
      <c r="R614" s="1">
        <f t="shared" si="42"/>
        <v>0</v>
      </c>
      <c r="T614" s="1">
        <f t="shared" si="39"/>
        <v>0</v>
      </c>
      <c r="U614" s="1">
        <f t="shared" si="40"/>
        <v>0</v>
      </c>
    </row>
    <row r="615" spans="1:21" x14ac:dyDescent="0.25">
      <c r="A615" s="1" t="s">
        <v>1319</v>
      </c>
      <c r="B615" s="1" t="s">
        <v>1313</v>
      </c>
      <c r="C615" s="1" t="s">
        <v>31</v>
      </c>
      <c r="D615" s="2">
        <v>46061</v>
      </c>
      <c r="E615" s="2">
        <v>46218</v>
      </c>
      <c r="F615" s="2">
        <v>46061</v>
      </c>
      <c r="H615" s="1" t="s">
        <v>38</v>
      </c>
      <c r="I615" s="1">
        <v>45</v>
      </c>
      <c r="J615" s="1">
        <v>9333214</v>
      </c>
      <c r="L615" s="1" t="s">
        <v>1320</v>
      </c>
      <c r="M615" s="1" t="s">
        <v>1320</v>
      </c>
      <c r="N615" s="1" t="s">
        <v>22</v>
      </c>
      <c r="O615" s="1">
        <v>1</v>
      </c>
      <c r="P615" s="1" t="b">
        <v>1</v>
      </c>
      <c r="S615" s="1">
        <f t="shared" ref="S615:S621" si="43">R$7-E615</f>
        <v>76</v>
      </c>
      <c r="T615" s="1">
        <f t="shared" si="39"/>
        <v>1</v>
      </c>
      <c r="U615" s="1">
        <f t="shared" si="40"/>
        <v>76</v>
      </c>
    </row>
    <row r="616" spans="1:21" x14ac:dyDescent="0.25">
      <c r="A616" s="1" t="s">
        <v>1321</v>
      </c>
      <c r="B616" s="1" t="s">
        <v>1313</v>
      </c>
      <c r="C616" s="1" t="s">
        <v>34</v>
      </c>
      <c r="D616" s="2">
        <v>46218</v>
      </c>
      <c r="E616" s="2">
        <v>46480</v>
      </c>
      <c r="H616" s="1" t="s">
        <v>42</v>
      </c>
      <c r="I616" s="1">
        <v>0</v>
      </c>
      <c r="J616" s="1">
        <v>15555357</v>
      </c>
      <c r="L616" s="1" t="s">
        <v>1322</v>
      </c>
      <c r="M616" s="1" t="s">
        <v>1322</v>
      </c>
      <c r="N616" s="1" t="s">
        <v>22</v>
      </c>
      <c r="O616" s="1">
        <v>1</v>
      </c>
      <c r="P616" s="1" t="b">
        <v>1</v>
      </c>
      <c r="Q616" s="1" t="s">
        <v>29</v>
      </c>
      <c r="S616" s="1">
        <f t="shared" si="43"/>
        <v>-186</v>
      </c>
      <c r="T616" s="1">
        <f t="shared" si="39"/>
        <v>0</v>
      </c>
      <c r="U616" s="1">
        <f t="shared" si="40"/>
        <v>0</v>
      </c>
    </row>
    <row r="617" spans="1:21" x14ac:dyDescent="0.25">
      <c r="A617" s="1" t="s">
        <v>1323</v>
      </c>
      <c r="B617" s="1" t="s">
        <v>1313</v>
      </c>
      <c r="C617" s="1" t="s">
        <v>37</v>
      </c>
      <c r="D617" s="2">
        <v>46480</v>
      </c>
      <c r="E617" s="2">
        <v>46585</v>
      </c>
      <c r="H617" s="1" t="s">
        <v>42</v>
      </c>
      <c r="I617" s="1">
        <v>0</v>
      </c>
      <c r="J617" s="1">
        <v>6222143</v>
      </c>
      <c r="L617" s="1" t="s">
        <v>1324</v>
      </c>
      <c r="M617" s="1" t="s">
        <v>1324</v>
      </c>
      <c r="N617" s="1" t="s">
        <v>22</v>
      </c>
      <c r="O617" s="1">
        <v>1</v>
      </c>
      <c r="P617" s="1" t="b">
        <v>1</v>
      </c>
      <c r="S617" s="1">
        <f t="shared" si="43"/>
        <v>-291</v>
      </c>
      <c r="T617" s="1">
        <f t="shared" si="39"/>
        <v>0</v>
      </c>
      <c r="U617" s="1">
        <f t="shared" si="40"/>
        <v>0</v>
      </c>
    </row>
    <row r="618" spans="1:21" x14ac:dyDescent="0.25">
      <c r="A618" s="1" t="s">
        <v>1325</v>
      </c>
      <c r="B618" s="1" t="s">
        <v>1313</v>
      </c>
      <c r="C618" s="1" t="s">
        <v>41</v>
      </c>
      <c r="D618" s="2">
        <v>46585</v>
      </c>
      <c r="E618" s="2">
        <v>46669</v>
      </c>
      <c r="H618" s="1" t="s">
        <v>42</v>
      </c>
      <c r="I618" s="1">
        <v>0</v>
      </c>
      <c r="J618" s="1">
        <v>4977714</v>
      </c>
      <c r="L618" s="1" t="s">
        <v>1326</v>
      </c>
      <c r="M618" s="1" t="s">
        <v>1326</v>
      </c>
      <c r="N618" s="1" t="s">
        <v>22</v>
      </c>
      <c r="O618" s="1">
        <v>1</v>
      </c>
      <c r="P618" s="1" t="b">
        <v>1</v>
      </c>
      <c r="S618" s="1">
        <f t="shared" si="43"/>
        <v>-375</v>
      </c>
      <c r="T618" s="1">
        <f t="shared" si="39"/>
        <v>0</v>
      </c>
      <c r="U618" s="1">
        <f t="shared" si="40"/>
        <v>0</v>
      </c>
    </row>
    <row r="619" spans="1:21" x14ac:dyDescent="0.25">
      <c r="A619" s="1" t="s">
        <v>1327</v>
      </c>
      <c r="B619" s="1" t="s">
        <v>1313</v>
      </c>
      <c r="C619" s="1" t="s">
        <v>45</v>
      </c>
      <c r="D619" s="2">
        <v>46669</v>
      </c>
      <c r="E619" s="2">
        <v>46774</v>
      </c>
      <c r="H619" s="1" t="s">
        <v>42</v>
      </c>
      <c r="I619" s="1">
        <v>0</v>
      </c>
      <c r="J619" s="1">
        <v>6222143</v>
      </c>
      <c r="L619" s="1" t="s">
        <v>1328</v>
      </c>
      <c r="M619" s="1" t="s">
        <v>1328</v>
      </c>
      <c r="N619" s="1" t="s">
        <v>22</v>
      </c>
      <c r="O619" s="1">
        <v>1</v>
      </c>
      <c r="P619" s="1" t="b">
        <v>1</v>
      </c>
      <c r="S619" s="1">
        <f t="shared" si="43"/>
        <v>-480</v>
      </c>
      <c r="T619" s="1">
        <f t="shared" si="39"/>
        <v>0</v>
      </c>
      <c r="U619" s="1">
        <f t="shared" si="40"/>
        <v>0</v>
      </c>
    </row>
    <row r="620" spans="1:21" x14ac:dyDescent="0.25">
      <c r="A620" s="1" t="s">
        <v>1329</v>
      </c>
      <c r="B620" s="1" t="s">
        <v>1313</v>
      </c>
      <c r="C620" s="1" t="s">
        <v>48</v>
      </c>
      <c r="D620" s="2">
        <v>46774</v>
      </c>
      <c r="E620" s="2">
        <v>46805</v>
      </c>
      <c r="H620" s="1" t="s">
        <v>42</v>
      </c>
      <c r="I620" s="1">
        <v>0</v>
      </c>
      <c r="J620" s="1">
        <v>1866642</v>
      </c>
      <c r="L620" s="1" t="s">
        <v>1330</v>
      </c>
      <c r="M620" s="1" t="s">
        <v>1330</v>
      </c>
      <c r="N620" s="1" t="s">
        <v>22</v>
      </c>
      <c r="O620" s="1">
        <v>1</v>
      </c>
      <c r="P620" s="1" t="b">
        <v>1</v>
      </c>
      <c r="S620" s="1">
        <f t="shared" si="43"/>
        <v>-511</v>
      </c>
      <c r="T620" s="1">
        <f t="shared" si="39"/>
        <v>0</v>
      </c>
      <c r="U620" s="1">
        <f t="shared" si="40"/>
        <v>0</v>
      </c>
    </row>
    <row r="621" spans="1:21" x14ac:dyDescent="0.25">
      <c r="A621" s="1" t="s">
        <v>1331</v>
      </c>
      <c r="B621" s="1" t="s">
        <v>1313</v>
      </c>
      <c r="C621" s="1" t="s">
        <v>51</v>
      </c>
      <c r="D621" s="2">
        <v>46805</v>
      </c>
      <c r="E621" s="2">
        <v>46826</v>
      </c>
      <c r="H621" s="1" t="s">
        <v>42</v>
      </c>
      <c r="I621" s="1">
        <v>0</v>
      </c>
      <c r="J621" s="1">
        <v>1244428</v>
      </c>
      <c r="L621" s="1" t="s">
        <v>1332</v>
      </c>
      <c r="M621" s="1" t="s">
        <v>1332</v>
      </c>
      <c r="N621" s="1" t="s">
        <v>22</v>
      </c>
      <c r="O621" s="1">
        <v>1</v>
      </c>
      <c r="P621" s="1" t="b">
        <v>1</v>
      </c>
      <c r="S621" s="1">
        <f t="shared" si="43"/>
        <v>-532</v>
      </c>
      <c r="T621" s="1">
        <f t="shared" si="39"/>
        <v>0</v>
      </c>
      <c r="U621" s="1">
        <f t="shared" si="40"/>
        <v>0</v>
      </c>
    </row>
    <row r="622" spans="1:21" x14ac:dyDescent="0.25">
      <c r="A622" s="1" t="s">
        <v>1333</v>
      </c>
      <c r="B622" s="1" t="s">
        <v>1334</v>
      </c>
      <c r="C622" s="1" t="s">
        <v>19</v>
      </c>
      <c r="D622" s="2">
        <v>45753</v>
      </c>
      <c r="E622" s="2">
        <v>45823</v>
      </c>
      <c r="F622" s="2">
        <v>45753</v>
      </c>
      <c r="G622" s="2">
        <v>45823</v>
      </c>
      <c r="H622" s="1" t="s">
        <v>20</v>
      </c>
      <c r="I622" s="1">
        <v>100</v>
      </c>
      <c r="J622" s="1">
        <v>21289660</v>
      </c>
      <c r="L622" s="1" t="s">
        <v>1335</v>
      </c>
      <c r="M622" s="1" t="s">
        <v>1335</v>
      </c>
      <c r="N622" s="1" t="s">
        <v>22</v>
      </c>
      <c r="O622" s="1">
        <v>1</v>
      </c>
      <c r="P622" s="1" t="b">
        <v>1</v>
      </c>
      <c r="R622" s="1">
        <f>G622-E622</f>
        <v>0</v>
      </c>
      <c r="T622" s="1">
        <f t="shared" si="39"/>
        <v>0</v>
      </c>
      <c r="U622" s="1">
        <f t="shared" si="40"/>
        <v>0</v>
      </c>
    </row>
    <row r="623" spans="1:21" x14ac:dyDescent="0.25">
      <c r="A623" s="1" t="s">
        <v>1336</v>
      </c>
      <c r="B623" s="1" t="s">
        <v>1334</v>
      </c>
      <c r="C623" s="1" t="s">
        <v>24</v>
      </c>
      <c r="D623" s="2">
        <v>45823</v>
      </c>
      <c r="E623" s="2">
        <v>45964</v>
      </c>
      <c r="F623" s="2">
        <v>45823</v>
      </c>
      <c r="G623" s="2">
        <v>45964</v>
      </c>
      <c r="H623" s="1" t="s">
        <v>20</v>
      </c>
      <c r="I623" s="1">
        <v>100</v>
      </c>
      <c r="J623" s="1">
        <v>42579320</v>
      </c>
      <c r="L623" s="1" t="s">
        <v>1337</v>
      </c>
      <c r="M623" s="1" t="s">
        <v>1337</v>
      </c>
      <c r="N623" s="1" t="s">
        <v>22</v>
      </c>
      <c r="O623" s="1">
        <v>1</v>
      </c>
      <c r="P623" s="1" t="b">
        <v>1</v>
      </c>
      <c r="R623" s="1">
        <f>G623-E623</f>
        <v>0</v>
      </c>
      <c r="T623" s="1">
        <f t="shared" si="39"/>
        <v>0</v>
      </c>
      <c r="U623" s="1">
        <f t="shared" si="40"/>
        <v>0</v>
      </c>
    </row>
    <row r="624" spans="1:21" x14ac:dyDescent="0.25">
      <c r="A624" s="1" t="s">
        <v>1338</v>
      </c>
      <c r="B624" s="1" t="s">
        <v>1334</v>
      </c>
      <c r="C624" s="1" t="s">
        <v>27</v>
      </c>
      <c r="D624" s="2">
        <v>45964</v>
      </c>
      <c r="E624" s="2">
        <v>46133</v>
      </c>
      <c r="F624" s="2">
        <v>45964</v>
      </c>
      <c r="H624" s="1" t="s">
        <v>38</v>
      </c>
      <c r="I624" s="1">
        <v>87</v>
      </c>
      <c r="J624" s="1">
        <v>51095184</v>
      </c>
      <c r="L624" s="1" t="s">
        <v>1339</v>
      </c>
      <c r="M624" s="1" t="s">
        <v>1339</v>
      </c>
      <c r="N624" s="1" t="s">
        <v>22</v>
      </c>
      <c r="O624" s="1">
        <v>1</v>
      </c>
      <c r="P624" s="1" t="b">
        <v>1</v>
      </c>
      <c r="Q624" s="1" t="s">
        <v>29</v>
      </c>
      <c r="S624" s="1">
        <f t="shared" ref="S624:S631" si="44">R$7-E624</f>
        <v>161</v>
      </c>
      <c r="T624" s="1">
        <f t="shared" si="39"/>
        <v>1</v>
      </c>
      <c r="U624" s="1">
        <f t="shared" si="40"/>
        <v>161</v>
      </c>
    </row>
    <row r="625" spans="1:21" x14ac:dyDescent="0.25">
      <c r="A625" s="1" t="s">
        <v>1340</v>
      </c>
      <c r="B625" s="1" t="s">
        <v>1334</v>
      </c>
      <c r="C625" s="1" t="s">
        <v>31</v>
      </c>
      <c r="D625" s="2">
        <v>46133</v>
      </c>
      <c r="E625" s="2">
        <v>46344</v>
      </c>
      <c r="H625" s="1" t="s">
        <v>42</v>
      </c>
      <c r="I625" s="1">
        <v>0</v>
      </c>
      <c r="J625" s="1">
        <v>63868980</v>
      </c>
      <c r="L625" s="1" t="s">
        <v>1341</v>
      </c>
      <c r="M625" s="1" t="s">
        <v>1341</v>
      </c>
      <c r="N625" s="1" t="s">
        <v>22</v>
      </c>
      <c r="O625" s="1">
        <v>1</v>
      </c>
      <c r="P625" s="1" t="b">
        <v>1</v>
      </c>
      <c r="S625" s="1">
        <f t="shared" si="44"/>
        <v>-50</v>
      </c>
      <c r="T625" s="1">
        <f t="shared" si="39"/>
        <v>0</v>
      </c>
      <c r="U625" s="1">
        <f t="shared" si="40"/>
        <v>0</v>
      </c>
    </row>
    <row r="626" spans="1:21" x14ac:dyDescent="0.25">
      <c r="A626" s="1" t="s">
        <v>1342</v>
      </c>
      <c r="B626" s="1" t="s">
        <v>1334</v>
      </c>
      <c r="C626" s="1" t="s">
        <v>34</v>
      </c>
      <c r="D626" s="2">
        <v>46344</v>
      </c>
      <c r="E626" s="2">
        <v>46696</v>
      </c>
      <c r="H626" s="1" t="s">
        <v>42</v>
      </c>
      <c r="I626" s="1">
        <v>0</v>
      </c>
      <c r="J626" s="1">
        <v>106448300</v>
      </c>
      <c r="L626" s="1" t="s">
        <v>1343</v>
      </c>
      <c r="M626" s="1" t="s">
        <v>1343</v>
      </c>
      <c r="N626" s="1" t="s">
        <v>22</v>
      </c>
      <c r="O626" s="1">
        <v>1</v>
      </c>
      <c r="P626" s="1" t="b">
        <v>1</v>
      </c>
      <c r="Q626" s="1" t="s">
        <v>29</v>
      </c>
      <c r="S626" s="1">
        <f t="shared" si="44"/>
        <v>-402</v>
      </c>
      <c r="T626" s="1">
        <f t="shared" si="39"/>
        <v>0</v>
      </c>
      <c r="U626" s="1">
        <f t="shared" si="40"/>
        <v>0</v>
      </c>
    </row>
    <row r="627" spans="1:21" x14ac:dyDescent="0.25">
      <c r="A627" s="1" t="s">
        <v>1344</v>
      </c>
      <c r="B627" s="1" t="s">
        <v>1334</v>
      </c>
      <c r="C627" s="1" t="s">
        <v>37</v>
      </c>
      <c r="D627" s="2">
        <v>46696</v>
      </c>
      <c r="E627" s="2">
        <v>46837</v>
      </c>
      <c r="H627" s="1" t="s">
        <v>42</v>
      </c>
      <c r="I627" s="1">
        <v>0</v>
      </c>
      <c r="J627" s="1">
        <v>42579320</v>
      </c>
      <c r="L627" s="1" t="s">
        <v>1345</v>
      </c>
      <c r="M627" s="1" t="s">
        <v>1345</v>
      </c>
      <c r="N627" s="1" t="s">
        <v>22</v>
      </c>
      <c r="O627" s="1">
        <v>1</v>
      </c>
      <c r="P627" s="1" t="b">
        <v>1</v>
      </c>
      <c r="S627" s="1">
        <f t="shared" si="44"/>
        <v>-543</v>
      </c>
      <c r="T627" s="1">
        <f t="shared" si="39"/>
        <v>0</v>
      </c>
      <c r="U627" s="1">
        <f t="shared" si="40"/>
        <v>0</v>
      </c>
    </row>
    <row r="628" spans="1:21" x14ac:dyDescent="0.25">
      <c r="A628" s="1" t="s">
        <v>1346</v>
      </c>
      <c r="B628" s="1" t="s">
        <v>1334</v>
      </c>
      <c r="C628" s="1" t="s">
        <v>41</v>
      </c>
      <c r="D628" s="2">
        <v>46837</v>
      </c>
      <c r="E628" s="2">
        <v>46949</v>
      </c>
      <c r="H628" s="1" t="s">
        <v>42</v>
      </c>
      <c r="I628" s="1">
        <v>0</v>
      </c>
      <c r="J628" s="1">
        <v>34063456</v>
      </c>
      <c r="L628" s="1" t="s">
        <v>1347</v>
      </c>
      <c r="M628" s="1" t="s">
        <v>1347</v>
      </c>
      <c r="N628" s="1" t="s">
        <v>22</v>
      </c>
      <c r="O628" s="1">
        <v>1</v>
      </c>
      <c r="P628" s="1" t="b">
        <v>1</v>
      </c>
      <c r="S628" s="1">
        <f t="shared" si="44"/>
        <v>-655</v>
      </c>
      <c r="T628" s="1">
        <f t="shared" si="39"/>
        <v>0</v>
      </c>
      <c r="U628" s="1">
        <f t="shared" si="40"/>
        <v>0</v>
      </c>
    </row>
    <row r="629" spans="1:21" x14ac:dyDescent="0.25">
      <c r="A629" s="1" t="s">
        <v>1348</v>
      </c>
      <c r="B629" s="1" t="s">
        <v>1334</v>
      </c>
      <c r="C629" s="1" t="s">
        <v>45</v>
      </c>
      <c r="D629" s="2">
        <v>46949</v>
      </c>
      <c r="E629" s="2">
        <v>47090</v>
      </c>
      <c r="H629" s="1" t="s">
        <v>42</v>
      </c>
      <c r="I629" s="1">
        <v>0</v>
      </c>
      <c r="J629" s="1">
        <v>42579320</v>
      </c>
      <c r="L629" s="1" t="s">
        <v>1349</v>
      </c>
      <c r="M629" s="1" t="s">
        <v>1349</v>
      </c>
      <c r="N629" s="1" t="s">
        <v>22</v>
      </c>
      <c r="O629" s="1">
        <v>1</v>
      </c>
      <c r="P629" s="1" t="b">
        <v>1</v>
      </c>
      <c r="S629" s="1">
        <f t="shared" si="44"/>
        <v>-796</v>
      </c>
      <c r="T629" s="1">
        <f t="shared" si="39"/>
        <v>0</v>
      </c>
      <c r="U629" s="1">
        <f t="shared" si="40"/>
        <v>0</v>
      </c>
    </row>
    <row r="630" spans="1:21" x14ac:dyDescent="0.25">
      <c r="A630" s="1" t="s">
        <v>1350</v>
      </c>
      <c r="B630" s="1" t="s">
        <v>1334</v>
      </c>
      <c r="C630" s="1" t="s">
        <v>48</v>
      </c>
      <c r="D630" s="2">
        <v>47090</v>
      </c>
      <c r="E630" s="2">
        <v>47132</v>
      </c>
      <c r="H630" s="1" t="s">
        <v>42</v>
      </c>
      <c r="I630" s="1">
        <v>0</v>
      </c>
      <c r="J630" s="1">
        <v>12773796</v>
      </c>
      <c r="L630" s="1" t="s">
        <v>1351</v>
      </c>
      <c r="M630" s="1" t="s">
        <v>1351</v>
      </c>
      <c r="N630" s="1" t="s">
        <v>22</v>
      </c>
      <c r="O630" s="1">
        <v>1</v>
      </c>
      <c r="P630" s="1" t="b">
        <v>1</v>
      </c>
      <c r="S630" s="1">
        <f t="shared" si="44"/>
        <v>-838</v>
      </c>
      <c r="T630" s="1">
        <f t="shared" si="39"/>
        <v>0</v>
      </c>
      <c r="U630" s="1">
        <f t="shared" si="40"/>
        <v>0</v>
      </c>
    </row>
    <row r="631" spans="1:21" x14ac:dyDescent="0.25">
      <c r="A631" s="1" t="s">
        <v>1352</v>
      </c>
      <c r="B631" s="1" t="s">
        <v>1334</v>
      </c>
      <c r="C631" s="1" t="s">
        <v>51</v>
      </c>
      <c r="D631" s="2">
        <v>47132</v>
      </c>
      <c r="E631" s="2">
        <v>47160</v>
      </c>
      <c r="H631" s="1" t="s">
        <v>42</v>
      </c>
      <c r="I631" s="1">
        <v>0</v>
      </c>
      <c r="J631" s="1">
        <v>8515864</v>
      </c>
      <c r="L631" s="1" t="s">
        <v>1353</v>
      </c>
      <c r="M631" s="1" t="s">
        <v>1353</v>
      </c>
      <c r="N631" s="1" t="s">
        <v>22</v>
      </c>
      <c r="O631" s="1">
        <v>1</v>
      </c>
      <c r="P631" s="1" t="b">
        <v>1</v>
      </c>
      <c r="S631" s="1">
        <f t="shared" si="44"/>
        <v>-866</v>
      </c>
      <c r="T631" s="1">
        <f t="shared" si="39"/>
        <v>0</v>
      </c>
      <c r="U631" s="1">
        <f t="shared" si="40"/>
        <v>0</v>
      </c>
    </row>
    <row r="632" spans="1:21" x14ac:dyDescent="0.25">
      <c r="A632" s="1" t="s">
        <v>1354</v>
      </c>
      <c r="B632" s="1" t="s">
        <v>1355</v>
      </c>
      <c r="C632" s="1" t="s">
        <v>19</v>
      </c>
      <c r="D632" s="2">
        <v>45430</v>
      </c>
      <c r="E632" s="2">
        <v>45469</v>
      </c>
      <c r="F632" s="2">
        <v>45430</v>
      </c>
      <c r="G632" s="2">
        <v>45469</v>
      </c>
      <c r="H632" s="1" t="s">
        <v>20</v>
      </c>
      <c r="I632" s="1">
        <v>100</v>
      </c>
      <c r="J632" s="1">
        <v>12238189</v>
      </c>
      <c r="L632" s="1" t="s">
        <v>1356</v>
      </c>
      <c r="M632" s="1" t="s">
        <v>1356</v>
      </c>
      <c r="N632" s="1" t="s">
        <v>22</v>
      </c>
      <c r="O632" s="1">
        <v>1</v>
      </c>
      <c r="P632" s="1" t="b">
        <v>1</v>
      </c>
      <c r="R632" s="1">
        <f t="shared" ref="R632:R637" si="45">G632-E632</f>
        <v>0</v>
      </c>
      <c r="T632" s="1">
        <f t="shared" si="39"/>
        <v>0</v>
      </c>
      <c r="U632" s="1">
        <f t="shared" si="40"/>
        <v>0</v>
      </c>
    </row>
    <row r="633" spans="1:21" x14ac:dyDescent="0.25">
      <c r="A633" s="1" t="s">
        <v>1357</v>
      </c>
      <c r="B633" s="1" t="s">
        <v>1355</v>
      </c>
      <c r="C633" s="1" t="s">
        <v>24</v>
      </c>
      <c r="D633" s="2">
        <v>45469</v>
      </c>
      <c r="E633" s="2">
        <v>45547</v>
      </c>
      <c r="F633" s="2">
        <v>45469</v>
      </c>
      <c r="G633" s="2">
        <v>45547</v>
      </c>
      <c r="H633" s="1" t="s">
        <v>20</v>
      </c>
      <c r="I633" s="1">
        <v>100</v>
      </c>
      <c r="J633" s="1">
        <v>24476379</v>
      </c>
      <c r="L633" s="1" t="s">
        <v>1358</v>
      </c>
      <c r="M633" s="1" t="s">
        <v>1358</v>
      </c>
      <c r="N633" s="1" t="s">
        <v>22</v>
      </c>
      <c r="O633" s="1">
        <v>1</v>
      </c>
      <c r="P633" s="1" t="b">
        <v>1</v>
      </c>
      <c r="R633" s="1">
        <f t="shared" si="45"/>
        <v>0</v>
      </c>
      <c r="T633" s="1">
        <f t="shared" si="39"/>
        <v>0</v>
      </c>
      <c r="U633" s="1">
        <f t="shared" si="40"/>
        <v>0</v>
      </c>
    </row>
    <row r="634" spans="1:21" x14ac:dyDescent="0.25">
      <c r="A634" s="1" t="s">
        <v>1359</v>
      </c>
      <c r="B634" s="1" t="s">
        <v>1355</v>
      </c>
      <c r="C634" s="1" t="s">
        <v>27</v>
      </c>
      <c r="D634" s="2">
        <v>45547</v>
      </c>
      <c r="E634" s="2">
        <v>45640</v>
      </c>
      <c r="F634" s="2">
        <v>45547</v>
      </c>
      <c r="G634" s="2">
        <v>45640</v>
      </c>
      <c r="H634" s="1" t="s">
        <v>20</v>
      </c>
      <c r="I634" s="1">
        <v>100</v>
      </c>
      <c r="J634" s="1">
        <v>29371655</v>
      </c>
      <c r="L634" s="1" t="s">
        <v>1360</v>
      </c>
      <c r="M634" s="1" t="s">
        <v>1360</v>
      </c>
      <c r="N634" s="1" t="s">
        <v>22</v>
      </c>
      <c r="O634" s="1">
        <v>1</v>
      </c>
      <c r="P634" s="1" t="b">
        <v>1</v>
      </c>
      <c r="Q634" s="1" t="s">
        <v>29</v>
      </c>
      <c r="R634" s="1">
        <f t="shared" si="45"/>
        <v>0</v>
      </c>
      <c r="T634" s="1">
        <f t="shared" si="39"/>
        <v>0</v>
      </c>
      <c r="U634" s="1">
        <f t="shared" si="40"/>
        <v>0</v>
      </c>
    </row>
    <row r="635" spans="1:21" x14ac:dyDescent="0.25">
      <c r="A635" s="1" t="s">
        <v>1361</v>
      </c>
      <c r="B635" s="1" t="s">
        <v>1355</v>
      </c>
      <c r="C635" s="1" t="s">
        <v>31</v>
      </c>
      <c r="D635" s="2">
        <v>45640</v>
      </c>
      <c r="E635" s="2">
        <v>45757</v>
      </c>
      <c r="F635" s="2">
        <v>45640</v>
      </c>
      <c r="G635" s="2">
        <v>45757</v>
      </c>
      <c r="H635" s="1" t="s">
        <v>20</v>
      </c>
      <c r="I635" s="1">
        <v>100</v>
      </c>
      <c r="J635" s="1">
        <v>36714569</v>
      </c>
      <c r="L635" s="1" t="s">
        <v>1362</v>
      </c>
      <c r="M635" s="1" t="s">
        <v>1362</v>
      </c>
      <c r="N635" s="1" t="s">
        <v>22</v>
      </c>
      <c r="O635" s="1">
        <v>1</v>
      </c>
      <c r="P635" s="1" t="b">
        <v>1</v>
      </c>
      <c r="R635" s="1">
        <f t="shared" si="45"/>
        <v>0</v>
      </c>
      <c r="T635" s="1">
        <f t="shared" si="39"/>
        <v>0</v>
      </c>
      <c r="U635" s="1">
        <f t="shared" si="40"/>
        <v>0</v>
      </c>
    </row>
    <row r="636" spans="1:21" x14ac:dyDescent="0.25">
      <c r="A636" s="1" t="s">
        <v>1363</v>
      </c>
      <c r="B636" s="1" t="s">
        <v>1355</v>
      </c>
      <c r="C636" s="1" t="s">
        <v>34</v>
      </c>
      <c r="D636" s="2">
        <v>45757</v>
      </c>
      <c r="E636" s="2">
        <v>45952</v>
      </c>
      <c r="F636" s="2">
        <v>45757</v>
      </c>
      <c r="G636" s="2">
        <v>45952</v>
      </c>
      <c r="H636" s="1" t="s">
        <v>20</v>
      </c>
      <c r="I636" s="1">
        <v>100</v>
      </c>
      <c r="J636" s="1">
        <v>61190949</v>
      </c>
      <c r="L636" s="1" t="s">
        <v>1364</v>
      </c>
      <c r="M636" s="1" t="s">
        <v>1364</v>
      </c>
      <c r="N636" s="1" t="s">
        <v>22</v>
      </c>
      <c r="O636" s="1">
        <v>1</v>
      </c>
      <c r="P636" s="1" t="b">
        <v>1</v>
      </c>
      <c r="Q636" s="1" t="s">
        <v>29</v>
      </c>
      <c r="R636" s="1">
        <f t="shared" si="45"/>
        <v>0</v>
      </c>
      <c r="T636" s="1">
        <f t="shared" si="39"/>
        <v>0</v>
      </c>
      <c r="U636" s="1">
        <f t="shared" si="40"/>
        <v>0</v>
      </c>
    </row>
    <row r="637" spans="1:21" x14ac:dyDescent="0.25">
      <c r="A637" s="1" t="s">
        <v>1365</v>
      </c>
      <c r="B637" s="1" t="s">
        <v>1355</v>
      </c>
      <c r="C637" s="1" t="s">
        <v>37</v>
      </c>
      <c r="D637" s="2">
        <v>45952</v>
      </c>
      <c r="E637" s="2">
        <v>46030</v>
      </c>
      <c r="F637" s="2">
        <v>45952</v>
      </c>
      <c r="G637" s="2">
        <v>46030</v>
      </c>
      <c r="H637" s="1" t="s">
        <v>20</v>
      </c>
      <c r="I637" s="1">
        <v>100</v>
      </c>
      <c r="J637" s="1">
        <v>24476379</v>
      </c>
      <c r="L637" s="1" t="s">
        <v>1366</v>
      </c>
      <c r="M637" s="1" t="s">
        <v>1366</v>
      </c>
      <c r="N637" s="1" t="s">
        <v>22</v>
      </c>
      <c r="O637" s="1">
        <v>1</v>
      </c>
      <c r="P637" s="1" t="b">
        <v>1</v>
      </c>
      <c r="R637" s="1">
        <f t="shared" si="45"/>
        <v>0</v>
      </c>
      <c r="T637" s="1">
        <f t="shared" si="39"/>
        <v>0</v>
      </c>
      <c r="U637" s="1">
        <f t="shared" si="40"/>
        <v>0</v>
      </c>
    </row>
    <row r="638" spans="1:21" x14ac:dyDescent="0.25">
      <c r="A638" s="1" t="s">
        <v>1367</v>
      </c>
      <c r="B638" s="1" t="s">
        <v>1355</v>
      </c>
      <c r="C638" s="1" t="s">
        <v>41</v>
      </c>
      <c r="D638" s="2">
        <v>46030</v>
      </c>
      <c r="E638" s="2">
        <v>46092</v>
      </c>
      <c r="F638" s="2">
        <v>46030</v>
      </c>
      <c r="H638" s="1" t="s">
        <v>38</v>
      </c>
      <c r="I638" s="1">
        <v>61</v>
      </c>
      <c r="J638" s="1">
        <v>19581103</v>
      </c>
      <c r="L638" s="1" t="s">
        <v>1368</v>
      </c>
      <c r="M638" s="1" t="s">
        <v>1368</v>
      </c>
      <c r="N638" s="1" t="s">
        <v>22</v>
      </c>
      <c r="O638" s="1">
        <v>1</v>
      </c>
      <c r="P638" s="1" t="b">
        <v>1</v>
      </c>
      <c r="S638" s="1">
        <f>R$7-E638</f>
        <v>202</v>
      </c>
      <c r="T638" s="1">
        <f t="shared" si="39"/>
        <v>1</v>
      </c>
      <c r="U638" s="1">
        <f t="shared" si="40"/>
        <v>202</v>
      </c>
    </row>
    <row r="639" spans="1:21" x14ac:dyDescent="0.25">
      <c r="A639" s="1" t="s">
        <v>1369</v>
      </c>
      <c r="B639" s="1" t="s">
        <v>1355</v>
      </c>
      <c r="C639" s="1" t="s">
        <v>45</v>
      </c>
      <c r="D639" s="2">
        <v>46092</v>
      </c>
      <c r="E639" s="2">
        <v>46170</v>
      </c>
      <c r="H639" s="1" t="s">
        <v>42</v>
      </c>
      <c r="I639" s="1">
        <v>0</v>
      </c>
      <c r="J639" s="1">
        <v>24476379</v>
      </c>
      <c r="L639" s="1" t="s">
        <v>1370</v>
      </c>
      <c r="M639" s="1" t="s">
        <v>1370</v>
      </c>
      <c r="N639" s="1" t="s">
        <v>22</v>
      </c>
      <c r="O639" s="1">
        <v>1</v>
      </c>
      <c r="P639" s="1" t="b">
        <v>1</v>
      </c>
      <c r="S639" s="1">
        <f>R$7-E639</f>
        <v>124</v>
      </c>
      <c r="T639" s="1">
        <f t="shared" si="39"/>
        <v>1</v>
      </c>
      <c r="U639" s="1">
        <f t="shared" si="40"/>
        <v>124</v>
      </c>
    </row>
    <row r="640" spans="1:21" x14ac:dyDescent="0.25">
      <c r="A640" s="1" t="s">
        <v>1371</v>
      </c>
      <c r="B640" s="1" t="s">
        <v>1355</v>
      </c>
      <c r="C640" s="1" t="s">
        <v>48</v>
      </c>
      <c r="D640" s="2">
        <v>46170</v>
      </c>
      <c r="E640" s="2">
        <v>46193</v>
      </c>
      <c r="H640" s="1" t="s">
        <v>42</v>
      </c>
      <c r="I640" s="1">
        <v>0</v>
      </c>
      <c r="J640" s="1">
        <v>7342913</v>
      </c>
      <c r="L640" s="1" t="s">
        <v>1372</v>
      </c>
      <c r="M640" s="1" t="s">
        <v>1372</v>
      </c>
      <c r="N640" s="1" t="s">
        <v>22</v>
      </c>
      <c r="O640" s="1">
        <v>1</v>
      </c>
      <c r="P640" s="1" t="b">
        <v>1</v>
      </c>
      <c r="S640" s="1">
        <f>R$7-E640</f>
        <v>101</v>
      </c>
      <c r="T640" s="1">
        <f t="shared" si="39"/>
        <v>1</v>
      </c>
      <c r="U640" s="1">
        <f t="shared" si="40"/>
        <v>101</v>
      </c>
    </row>
    <row r="641" spans="1:21" x14ac:dyDescent="0.25">
      <c r="A641" s="1" t="s">
        <v>1373</v>
      </c>
      <c r="B641" s="1" t="s">
        <v>1355</v>
      </c>
      <c r="C641" s="1" t="s">
        <v>51</v>
      </c>
      <c r="D641" s="2">
        <v>46193</v>
      </c>
      <c r="E641" s="2">
        <v>46208</v>
      </c>
      <c r="H641" s="1" t="s">
        <v>42</v>
      </c>
      <c r="I641" s="1">
        <v>0</v>
      </c>
      <c r="J641" s="1">
        <v>4895275</v>
      </c>
      <c r="L641" s="1" t="s">
        <v>1374</v>
      </c>
      <c r="M641" s="1" t="s">
        <v>1374</v>
      </c>
      <c r="N641" s="1" t="s">
        <v>22</v>
      </c>
      <c r="O641" s="1">
        <v>1</v>
      </c>
      <c r="P641" s="1" t="b">
        <v>1</v>
      </c>
      <c r="S641" s="1">
        <f>R$7-E641</f>
        <v>86</v>
      </c>
      <c r="T641" s="1">
        <f t="shared" si="39"/>
        <v>1</v>
      </c>
      <c r="U641" s="1">
        <f t="shared" si="40"/>
        <v>86</v>
      </c>
    </row>
    <row r="642" spans="1:21" x14ac:dyDescent="0.25">
      <c r="A642" s="1" t="s">
        <v>1375</v>
      </c>
      <c r="B642" s="1" t="s">
        <v>1376</v>
      </c>
      <c r="C642" s="1" t="s">
        <v>19</v>
      </c>
      <c r="D642" s="2">
        <v>44080</v>
      </c>
      <c r="E642" s="2">
        <v>44105</v>
      </c>
      <c r="F642" s="2">
        <v>44080</v>
      </c>
      <c r="G642" s="2">
        <v>44105</v>
      </c>
      <c r="H642" s="1" t="s">
        <v>20</v>
      </c>
      <c r="I642" s="1">
        <v>100</v>
      </c>
      <c r="J642" s="1">
        <v>22349095</v>
      </c>
      <c r="L642" s="1" t="s">
        <v>1377</v>
      </c>
      <c r="M642" s="1" t="s">
        <v>1377</v>
      </c>
      <c r="N642" s="1" t="s">
        <v>22</v>
      </c>
      <c r="O642" s="1">
        <v>1</v>
      </c>
      <c r="P642" s="1" t="b">
        <v>1</v>
      </c>
      <c r="R642" s="1">
        <f t="shared" ref="R642:R666" si="46">G642-E642</f>
        <v>0</v>
      </c>
      <c r="T642" s="1">
        <f t="shared" si="39"/>
        <v>0</v>
      </c>
      <c r="U642" s="1">
        <f t="shared" si="40"/>
        <v>0</v>
      </c>
    </row>
    <row r="643" spans="1:21" x14ac:dyDescent="0.25">
      <c r="A643" s="1" t="s">
        <v>1378</v>
      </c>
      <c r="B643" s="1" t="s">
        <v>1376</v>
      </c>
      <c r="C643" s="1" t="s">
        <v>24</v>
      </c>
      <c r="D643" s="2">
        <v>44105</v>
      </c>
      <c r="E643" s="2">
        <v>44156</v>
      </c>
      <c r="F643" s="2">
        <v>44105</v>
      </c>
      <c r="G643" s="2">
        <v>44156</v>
      </c>
      <c r="H643" s="1" t="s">
        <v>20</v>
      </c>
      <c r="I643" s="1">
        <v>100</v>
      </c>
      <c r="J643" s="1">
        <v>44698191</v>
      </c>
      <c r="L643" s="1" t="s">
        <v>1379</v>
      </c>
      <c r="M643" s="1" t="s">
        <v>1379</v>
      </c>
      <c r="N643" s="1" t="s">
        <v>22</v>
      </c>
      <c r="O643" s="1">
        <v>1</v>
      </c>
      <c r="P643" s="1" t="b">
        <v>1</v>
      </c>
      <c r="R643" s="1">
        <f t="shared" si="46"/>
        <v>0</v>
      </c>
      <c r="T643" s="1">
        <f t="shared" ref="T643:T706" si="47">IF(S643&gt;0,1,0)</f>
        <v>0</v>
      </c>
      <c r="U643" s="1">
        <f t="shared" ref="U643:U706" si="48">IF(S643&gt;0,S643,0)</f>
        <v>0</v>
      </c>
    </row>
    <row r="644" spans="1:21" x14ac:dyDescent="0.25">
      <c r="A644" s="1" t="s">
        <v>1380</v>
      </c>
      <c r="B644" s="1" t="s">
        <v>1376</v>
      </c>
      <c r="C644" s="1" t="s">
        <v>27</v>
      </c>
      <c r="D644" s="2">
        <v>44156</v>
      </c>
      <c r="E644" s="2">
        <v>44217</v>
      </c>
      <c r="F644" s="2">
        <v>44156</v>
      </c>
      <c r="G644" s="2">
        <v>44217</v>
      </c>
      <c r="H644" s="1" t="s">
        <v>20</v>
      </c>
      <c r="I644" s="1">
        <v>100</v>
      </c>
      <c r="J644" s="1">
        <v>53637829</v>
      </c>
      <c r="L644" s="1" t="s">
        <v>1381</v>
      </c>
      <c r="M644" s="1" t="s">
        <v>1381</v>
      </c>
      <c r="N644" s="1" t="s">
        <v>22</v>
      </c>
      <c r="O644" s="1">
        <v>1</v>
      </c>
      <c r="P644" s="1" t="b">
        <v>1</v>
      </c>
      <c r="Q644" s="1" t="s">
        <v>29</v>
      </c>
      <c r="R644" s="1">
        <f t="shared" si="46"/>
        <v>0</v>
      </c>
      <c r="T644" s="1">
        <f t="shared" si="47"/>
        <v>0</v>
      </c>
      <c r="U644" s="1">
        <f t="shared" si="48"/>
        <v>0</v>
      </c>
    </row>
    <row r="645" spans="1:21" x14ac:dyDescent="0.25">
      <c r="A645" s="1" t="s">
        <v>1382</v>
      </c>
      <c r="B645" s="1" t="s">
        <v>1376</v>
      </c>
      <c r="C645" s="1" t="s">
        <v>31</v>
      </c>
      <c r="D645" s="2">
        <v>44217</v>
      </c>
      <c r="E645" s="2">
        <v>44293</v>
      </c>
      <c r="F645" s="2">
        <v>44217</v>
      </c>
      <c r="G645" s="2">
        <v>44293</v>
      </c>
      <c r="H645" s="1" t="s">
        <v>20</v>
      </c>
      <c r="I645" s="1">
        <v>100</v>
      </c>
      <c r="J645" s="1">
        <v>67047286</v>
      </c>
      <c r="L645" s="1" t="s">
        <v>1383</v>
      </c>
      <c r="M645" s="1" t="s">
        <v>1383</v>
      </c>
      <c r="N645" s="1" t="s">
        <v>22</v>
      </c>
      <c r="O645" s="1">
        <v>1</v>
      </c>
      <c r="P645" s="1" t="b">
        <v>1</v>
      </c>
      <c r="R645" s="1">
        <f t="shared" si="46"/>
        <v>0</v>
      </c>
      <c r="T645" s="1">
        <f t="shared" si="47"/>
        <v>0</v>
      </c>
      <c r="U645" s="1">
        <f t="shared" si="48"/>
        <v>0</v>
      </c>
    </row>
    <row r="646" spans="1:21" x14ac:dyDescent="0.25">
      <c r="A646" s="1" t="s">
        <v>1384</v>
      </c>
      <c r="B646" s="1" t="s">
        <v>1376</v>
      </c>
      <c r="C646" s="1" t="s">
        <v>34</v>
      </c>
      <c r="D646" s="2">
        <v>44293</v>
      </c>
      <c r="E646" s="2">
        <v>44420</v>
      </c>
      <c r="F646" s="2">
        <v>44293</v>
      </c>
      <c r="G646" s="2">
        <v>44420</v>
      </c>
      <c r="H646" s="1" t="s">
        <v>20</v>
      </c>
      <c r="I646" s="1">
        <v>100</v>
      </c>
      <c r="J646" s="1">
        <v>111745478</v>
      </c>
      <c r="L646" s="1" t="s">
        <v>1385</v>
      </c>
      <c r="M646" s="1" t="s">
        <v>1385</v>
      </c>
      <c r="N646" s="1" t="s">
        <v>22</v>
      </c>
      <c r="O646" s="1">
        <v>1</v>
      </c>
      <c r="P646" s="1" t="b">
        <v>1</v>
      </c>
      <c r="Q646" s="1" t="s">
        <v>29</v>
      </c>
      <c r="R646" s="1">
        <f t="shared" si="46"/>
        <v>0</v>
      </c>
      <c r="T646" s="1">
        <f t="shared" si="47"/>
        <v>0</v>
      </c>
      <c r="U646" s="1">
        <f t="shared" si="48"/>
        <v>0</v>
      </c>
    </row>
    <row r="647" spans="1:21" x14ac:dyDescent="0.25">
      <c r="A647" s="1" t="s">
        <v>1386</v>
      </c>
      <c r="B647" s="1" t="s">
        <v>1376</v>
      </c>
      <c r="C647" s="1" t="s">
        <v>37</v>
      </c>
      <c r="D647" s="2">
        <v>44420</v>
      </c>
      <c r="E647" s="2">
        <v>44471</v>
      </c>
      <c r="F647" s="2">
        <v>44420</v>
      </c>
      <c r="G647" s="2">
        <v>44471</v>
      </c>
      <c r="H647" s="1" t="s">
        <v>20</v>
      </c>
      <c r="I647" s="1">
        <v>100</v>
      </c>
      <c r="J647" s="1">
        <v>44698191</v>
      </c>
      <c r="L647" s="1" t="s">
        <v>1387</v>
      </c>
      <c r="M647" s="1" t="s">
        <v>1387</v>
      </c>
      <c r="N647" s="1" t="s">
        <v>22</v>
      </c>
      <c r="O647" s="1">
        <v>1</v>
      </c>
      <c r="P647" s="1" t="b">
        <v>1</v>
      </c>
      <c r="R647" s="1">
        <f t="shared" si="46"/>
        <v>0</v>
      </c>
      <c r="T647" s="1">
        <f t="shared" si="47"/>
        <v>0</v>
      </c>
      <c r="U647" s="1">
        <f t="shared" si="48"/>
        <v>0</v>
      </c>
    </row>
    <row r="648" spans="1:21" x14ac:dyDescent="0.25">
      <c r="A648" s="1" t="s">
        <v>1388</v>
      </c>
      <c r="B648" s="1" t="s">
        <v>1376</v>
      </c>
      <c r="C648" s="1" t="s">
        <v>41</v>
      </c>
      <c r="D648" s="2">
        <v>44471</v>
      </c>
      <c r="E648" s="2">
        <v>44511</v>
      </c>
      <c r="F648" s="2">
        <v>44471</v>
      </c>
      <c r="G648" s="2">
        <v>44511</v>
      </c>
      <c r="H648" s="1" t="s">
        <v>20</v>
      </c>
      <c r="I648" s="1">
        <v>100</v>
      </c>
      <c r="J648" s="1">
        <v>35758552</v>
      </c>
      <c r="L648" s="1" t="s">
        <v>1389</v>
      </c>
      <c r="M648" s="1" t="s">
        <v>1389</v>
      </c>
      <c r="N648" s="1" t="s">
        <v>22</v>
      </c>
      <c r="O648" s="1">
        <v>1</v>
      </c>
      <c r="P648" s="1" t="b">
        <v>1</v>
      </c>
      <c r="R648" s="1">
        <f t="shared" si="46"/>
        <v>0</v>
      </c>
      <c r="T648" s="1">
        <f t="shared" si="47"/>
        <v>0</v>
      </c>
      <c r="U648" s="1">
        <f t="shared" si="48"/>
        <v>0</v>
      </c>
    </row>
    <row r="649" spans="1:21" x14ac:dyDescent="0.25">
      <c r="A649" s="1" t="s">
        <v>1390</v>
      </c>
      <c r="B649" s="1" t="s">
        <v>1376</v>
      </c>
      <c r="C649" s="1" t="s">
        <v>45</v>
      </c>
      <c r="D649" s="2">
        <v>44511</v>
      </c>
      <c r="E649" s="2">
        <v>44562</v>
      </c>
      <c r="F649" s="2">
        <v>44511</v>
      </c>
      <c r="G649" s="2">
        <v>44562</v>
      </c>
      <c r="H649" s="1" t="s">
        <v>20</v>
      </c>
      <c r="I649" s="1">
        <v>100</v>
      </c>
      <c r="J649" s="1">
        <v>44698191</v>
      </c>
      <c r="L649" s="1" t="s">
        <v>1391</v>
      </c>
      <c r="M649" s="1" t="s">
        <v>1391</v>
      </c>
      <c r="N649" s="1" t="s">
        <v>22</v>
      </c>
      <c r="O649" s="1">
        <v>1</v>
      </c>
      <c r="P649" s="1" t="b">
        <v>1</v>
      </c>
      <c r="R649" s="1">
        <f t="shared" si="46"/>
        <v>0</v>
      </c>
      <c r="T649" s="1">
        <f t="shared" si="47"/>
        <v>0</v>
      </c>
      <c r="U649" s="1">
        <f t="shared" si="48"/>
        <v>0</v>
      </c>
    </row>
    <row r="650" spans="1:21" x14ac:dyDescent="0.25">
      <c r="A650" s="1" t="s">
        <v>1392</v>
      </c>
      <c r="B650" s="1" t="s">
        <v>1376</v>
      </c>
      <c r="C650" s="1" t="s">
        <v>48</v>
      </c>
      <c r="D650" s="2">
        <v>44562</v>
      </c>
      <c r="E650" s="2">
        <v>44577</v>
      </c>
      <c r="F650" s="2">
        <v>44562</v>
      </c>
      <c r="G650" s="2">
        <v>44577</v>
      </c>
      <c r="H650" s="1" t="s">
        <v>20</v>
      </c>
      <c r="I650" s="1">
        <v>100</v>
      </c>
      <c r="J650" s="1">
        <v>13409457</v>
      </c>
      <c r="L650" s="1" t="s">
        <v>1393</v>
      </c>
      <c r="M650" s="1" t="s">
        <v>1393</v>
      </c>
      <c r="N650" s="1" t="s">
        <v>22</v>
      </c>
      <c r="O650" s="1">
        <v>1</v>
      </c>
      <c r="P650" s="1" t="b">
        <v>1</v>
      </c>
      <c r="R650" s="1">
        <f t="shared" si="46"/>
        <v>0</v>
      </c>
      <c r="T650" s="1">
        <f t="shared" si="47"/>
        <v>0</v>
      </c>
      <c r="U650" s="1">
        <f t="shared" si="48"/>
        <v>0</v>
      </c>
    </row>
    <row r="651" spans="1:21" x14ac:dyDescent="0.25">
      <c r="A651" s="1" t="s">
        <v>1394</v>
      </c>
      <c r="B651" s="1" t="s">
        <v>1376</v>
      </c>
      <c r="C651" s="1" t="s">
        <v>51</v>
      </c>
      <c r="D651" s="2">
        <v>44577</v>
      </c>
      <c r="E651" s="2">
        <v>44587</v>
      </c>
      <c r="F651" s="2">
        <v>44577</v>
      </c>
      <c r="G651" s="2">
        <v>44587</v>
      </c>
      <c r="H651" s="1" t="s">
        <v>20</v>
      </c>
      <c r="I651" s="1">
        <v>100</v>
      </c>
      <c r="J651" s="1">
        <v>8939638</v>
      </c>
      <c r="L651" s="1" t="s">
        <v>1395</v>
      </c>
      <c r="M651" s="1" t="s">
        <v>1395</v>
      </c>
      <c r="N651" s="1" t="s">
        <v>22</v>
      </c>
      <c r="O651" s="1">
        <v>1</v>
      </c>
      <c r="P651" s="1" t="b">
        <v>1</v>
      </c>
      <c r="R651" s="1">
        <f t="shared" si="46"/>
        <v>0</v>
      </c>
      <c r="T651" s="1">
        <f t="shared" si="47"/>
        <v>0</v>
      </c>
      <c r="U651" s="1">
        <f t="shared" si="48"/>
        <v>0</v>
      </c>
    </row>
    <row r="652" spans="1:21" x14ac:dyDescent="0.25">
      <c r="A652" s="1" t="s">
        <v>1396</v>
      </c>
      <c r="B652" s="1" t="s">
        <v>1397</v>
      </c>
      <c r="C652" s="1" t="s">
        <v>19</v>
      </c>
      <c r="D652" s="2">
        <v>44668</v>
      </c>
      <c r="E652" s="2">
        <v>44735</v>
      </c>
      <c r="F652" s="2">
        <v>44668</v>
      </c>
      <c r="G652" s="2">
        <v>44735</v>
      </c>
      <c r="H652" s="1" t="s">
        <v>20</v>
      </c>
      <c r="I652" s="1">
        <v>100</v>
      </c>
      <c r="J652" s="1">
        <v>7939849</v>
      </c>
      <c r="L652" s="1" t="s">
        <v>1398</v>
      </c>
      <c r="M652" s="1" t="s">
        <v>1398</v>
      </c>
      <c r="N652" s="1" t="s">
        <v>22</v>
      </c>
      <c r="O652" s="1">
        <v>1</v>
      </c>
      <c r="P652" s="1" t="b">
        <v>1</v>
      </c>
      <c r="R652" s="1">
        <f t="shared" si="46"/>
        <v>0</v>
      </c>
      <c r="T652" s="1">
        <f t="shared" si="47"/>
        <v>0</v>
      </c>
      <c r="U652" s="1">
        <f t="shared" si="48"/>
        <v>0</v>
      </c>
    </row>
    <row r="653" spans="1:21" x14ac:dyDescent="0.25">
      <c r="A653" s="1" t="s">
        <v>1399</v>
      </c>
      <c r="B653" s="1" t="s">
        <v>1397</v>
      </c>
      <c r="C653" s="1" t="s">
        <v>24</v>
      </c>
      <c r="D653" s="2">
        <v>44735</v>
      </c>
      <c r="E653" s="2">
        <v>44870</v>
      </c>
      <c r="F653" s="2">
        <v>44735</v>
      </c>
      <c r="G653" s="2">
        <v>44870</v>
      </c>
      <c r="H653" s="1" t="s">
        <v>20</v>
      </c>
      <c r="I653" s="1">
        <v>100</v>
      </c>
      <c r="J653" s="1">
        <v>15879699</v>
      </c>
      <c r="L653" s="1" t="s">
        <v>1400</v>
      </c>
      <c r="M653" s="1" t="s">
        <v>1400</v>
      </c>
      <c r="N653" s="1" t="s">
        <v>22</v>
      </c>
      <c r="O653" s="1">
        <v>1</v>
      </c>
      <c r="P653" s="1" t="b">
        <v>1</v>
      </c>
      <c r="R653" s="1">
        <f t="shared" si="46"/>
        <v>0</v>
      </c>
      <c r="T653" s="1">
        <f t="shared" si="47"/>
        <v>0</v>
      </c>
      <c r="U653" s="1">
        <f t="shared" si="48"/>
        <v>0</v>
      </c>
    </row>
    <row r="654" spans="1:21" x14ac:dyDescent="0.25">
      <c r="A654" s="1" t="s">
        <v>1401</v>
      </c>
      <c r="B654" s="1" t="s">
        <v>1397</v>
      </c>
      <c r="C654" s="1" t="s">
        <v>27</v>
      </c>
      <c r="D654" s="2">
        <v>44870</v>
      </c>
      <c r="E654" s="2">
        <v>45032</v>
      </c>
      <c r="F654" s="2">
        <v>44870</v>
      </c>
      <c r="G654" s="2">
        <v>45032</v>
      </c>
      <c r="H654" s="1" t="s">
        <v>20</v>
      </c>
      <c r="I654" s="1">
        <v>100</v>
      </c>
      <c r="J654" s="1">
        <v>19055639</v>
      </c>
      <c r="L654" s="1" t="s">
        <v>1402</v>
      </c>
      <c r="M654" s="1" t="s">
        <v>1402</v>
      </c>
      <c r="N654" s="1" t="s">
        <v>22</v>
      </c>
      <c r="O654" s="1">
        <v>1</v>
      </c>
      <c r="P654" s="1" t="b">
        <v>1</v>
      </c>
      <c r="Q654" s="1" t="s">
        <v>29</v>
      </c>
      <c r="R654" s="1">
        <f t="shared" si="46"/>
        <v>0</v>
      </c>
      <c r="T654" s="1">
        <f t="shared" si="47"/>
        <v>0</v>
      </c>
      <c r="U654" s="1">
        <f t="shared" si="48"/>
        <v>0</v>
      </c>
    </row>
    <row r="655" spans="1:21" x14ac:dyDescent="0.25">
      <c r="A655" s="1" t="s">
        <v>1403</v>
      </c>
      <c r="B655" s="1" t="s">
        <v>1397</v>
      </c>
      <c r="C655" s="1" t="s">
        <v>31</v>
      </c>
      <c r="D655" s="2">
        <v>45032</v>
      </c>
      <c r="E655" s="2">
        <v>45234</v>
      </c>
      <c r="F655" s="2">
        <v>45032</v>
      </c>
      <c r="G655" s="2">
        <v>45234</v>
      </c>
      <c r="H655" s="1" t="s">
        <v>20</v>
      </c>
      <c r="I655" s="1">
        <v>100</v>
      </c>
      <c r="J655" s="1">
        <v>23819549</v>
      </c>
      <c r="L655" s="1" t="s">
        <v>1404</v>
      </c>
      <c r="M655" s="1" t="s">
        <v>1404</v>
      </c>
      <c r="N655" s="1" t="s">
        <v>22</v>
      </c>
      <c r="O655" s="1">
        <v>1</v>
      </c>
      <c r="P655" s="1" t="b">
        <v>1</v>
      </c>
      <c r="R655" s="1">
        <f t="shared" si="46"/>
        <v>0</v>
      </c>
      <c r="T655" s="1">
        <f t="shared" si="47"/>
        <v>0</v>
      </c>
      <c r="U655" s="1">
        <f t="shared" si="48"/>
        <v>0</v>
      </c>
    </row>
    <row r="656" spans="1:21" x14ac:dyDescent="0.25">
      <c r="A656" s="1" t="s">
        <v>1405</v>
      </c>
      <c r="B656" s="1" t="s">
        <v>1397</v>
      </c>
      <c r="C656" s="1" t="s">
        <v>34</v>
      </c>
      <c r="D656" s="2">
        <v>45234</v>
      </c>
      <c r="E656" s="2">
        <v>45571</v>
      </c>
      <c r="F656" s="2">
        <v>45234</v>
      </c>
      <c r="G656" s="2">
        <v>45571</v>
      </c>
      <c r="H656" s="1" t="s">
        <v>20</v>
      </c>
      <c r="I656" s="1">
        <v>100</v>
      </c>
      <c r="J656" s="1">
        <v>39699249</v>
      </c>
      <c r="L656" s="1" t="s">
        <v>1406</v>
      </c>
      <c r="M656" s="1" t="s">
        <v>1406</v>
      </c>
      <c r="N656" s="1" t="s">
        <v>22</v>
      </c>
      <c r="O656" s="1">
        <v>1</v>
      </c>
      <c r="P656" s="1" t="b">
        <v>1</v>
      </c>
      <c r="Q656" s="1" t="s">
        <v>29</v>
      </c>
      <c r="R656" s="1">
        <f t="shared" si="46"/>
        <v>0</v>
      </c>
      <c r="T656" s="1">
        <f t="shared" si="47"/>
        <v>0</v>
      </c>
      <c r="U656" s="1">
        <f t="shared" si="48"/>
        <v>0</v>
      </c>
    </row>
    <row r="657" spans="1:21" x14ac:dyDescent="0.25">
      <c r="A657" s="1" t="s">
        <v>1407</v>
      </c>
      <c r="B657" s="1" t="s">
        <v>1397</v>
      </c>
      <c r="C657" s="1" t="s">
        <v>37</v>
      </c>
      <c r="D657" s="2">
        <v>45571</v>
      </c>
      <c r="E657" s="2">
        <v>45706</v>
      </c>
      <c r="F657" s="2">
        <v>45571</v>
      </c>
      <c r="G657" s="2">
        <v>45706</v>
      </c>
      <c r="H657" s="1" t="s">
        <v>20</v>
      </c>
      <c r="I657" s="1">
        <v>100</v>
      </c>
      <c r="J657" s="1">
        <v>15879699</v>
      </c>
      <c r="L657" s="1" t="s">
        <v>1408</v>
      </c>
      <c r="M657" s="1" t="s">
        <v>1408</v>
      </c>
      <c r="N657" s="1" t="s">
        <v>22</v>
      </c>
      <c r="O657" s="1">
        <v>1</v>
      </c>
      <c r="P657" s="1" t="b">
        <v>1</v>
      </c>
      <c r="R657" s="1">
        <f t="shared" si="46"/>
        <v>0</v>
      </c>
      <c r="T657" s="1">
        <f t="shared" si="47"/>
        <v>0</v>
      </c>
      <c r="U657" s="1">
        <f t="shared" si="48"/>
        <v>0</v>
      </c>
    </row>
    <row r="658" spans="1:21" x14ac:dyDescent="0.25">
      <c r="A658" s="1" t="s">
        <v>1409</v>
      </c>
      <c r="B658" s="1" t="s">
        <v>1397</v>
      </c>
      <c r="C658" s="1" t="s">
        <v>41</v>
      </c>
      <c r="D658" s="2">
        <v>45706</v>
      </c>
      <c r="E658" s="2">
        <v>45814</v>
      </c>
      <c r="F658" s="2">
        <v>45706</v>
      </c>
      <c r="G658" s="2">
        <v>45814</v>
      </c>
      <c r="H658" s="1" t="s">
        <v>20</v>
      </c>
      <c r="I658" s="1">
        <v>100</v>
      </c>
      <c r="J658" s="1">
        <v>12703759</v>
      </c>
      <c r="L658" s="1" t="s">
        <v>1410</v>
      </c>
      <c r="M658" s="1" t="s">
        <v>1410</v>
      </c>
      <c r="N658" s="1" t="s">
        <v>22</v>
      </c>
      <c r="O658" s="1">
        <v>1</v>
      </c>
      <c r="P658" s="1" t="b">
        <v>1</v>
      </c>
      <c r="R658" s="1">
        <f t="shared" si="46"/>
        <v>0</v>
      </c>
      <c r="T658" s="1">
        <f t="shared" si="47"/>
        <v>0</v>
      </c>
      <c r="U658" s="1">
        <f t="shared" si="48"/>
        <v>0</v>
      </c>
    </row>
    <row r="659" spans="1:21" x14ac:dyDescent="0.25">
      <c r="A659" s="1" t="s">
        <v>1411</v>
      </c>
      <c r="B659" s="1" t="s">
        <v>1397</v>
      </c>
      <c r="C659" s="1" t="s">
        <v>45</v>
      </c>
      <c r="D659" s="2">
        <v>45814</v>
      </c>
      <c r="E659" s="2">
        <v>45949</v>
      </c>
      <c r="F659" s="2">
        <v>45814</v>
      </c>
      <c r="G659" s="2">
        <v>45949</v>
      </c>
      <c r="H659" s="1" t="s">
        <v>20</v>
      </c>
      <c r="I659" s="1">
        <v>100</v>
      </c>
      <c r="J659" s="1">
        <v>15879699</v>
      </c>
      <c r="L659" s="1" t="s">
        <v>1412</v>
      </c>
      <c r="M659" s="1" t="s">
        <v>1412</v>
      </c>
      <c r="N659" s="1" t="s">
        <v>22</v>
      </c>
      <c r="O659" s="1">
        <v>1</v>
      </c>
      <c r="P659" s="1" t="b">
        <v>1</v>
      </c>
      <c r="R659" s="1">
        <f t="shared" si="46"/>
        <v>0</v>
      </c>
      <c r="T659" s="1">
        <f t="shared" si="47"/>
        <v>0</v>
      </c>
      <c r="U659" s="1">
        <f t="shared" si="48"/>
        <v>0</v>
      </c>
    </row>
    <row r="660" spans="1:21" x14ac:dyDescent="0.25">
      <c r="A660" s="1" t="s">
        <v>1413</v>
      </c>
      <c r="B660" s="1" t="s">
        <v>1397</v>
      </c>
      <c r="C660" s="1" t="s">
        <v>48</v>
      </c>
      <c r="D660" s="2">
        <v>45949</v>
      </c>
      <c r="E660" s="2">
        <v>45989</v>
      </c>
      <c r="F660" s="2">
        <v>45949</v>
      </c>
      <c r="G660" s="2">
        <v>45989</v>
      </c>
      <c r="H660" s="1" t="s">
        <v>20</v>
      </c>
      <c r="I660" s="1">
        <v>100</v>
      </c>
      <c r="J660" s="1">
        <v>4763909</v>
      </c>
      <c r="L660" s="1" t="s">
        <v>1414</v>
      </c>
      <c r="M660" s="1" t="s">
        <v>1414</v>
      </c>
      <c r="N660" s="1" t="s">
        <v>22</v>
      </c>
      <c r="O660" s="1">
        <v>1</v>
      </c>
      <c r="P660" s="1" t="b">
        <v>1</v>
      </c>
      <c r="R660" s="1">
        <f t="shared" si="46"/>
        <v>0</v>
      </c>
      <c r="T660" s="1">
        <f t="shared" si="47"/>
        <v>0</v>
      </c>
      <c r="U660" s="1">
        <f t="shared" si="48"/>
        <v>0</v>
      </c>
    </row>
    <row r="661" spans="1:21" x14ac:dyDescent="0.25">
      <c r="A661" s="1" t="s">
        <v>1415</v>
      </c>
      <c r="B661" s="1" t="s">
        <v>1397</v>
      </c>
      <c r="C661" s="1" t="s">
        <v>51</v>
      </c>
      <c r="D661" s="2">
        <v>45989</v>
      </c>
      <c r="E661" s="2">
        <v>46016</v>
      </c>
      <c r="F661" s="2">
        <v>45989</v>
      </c>
      <c r="G661" s="2">
        <v>46016</v>
      </c>
      <c r="H661" s="1" t="s">
        <v>20</v>
      </c>
      <c r="I661" s="1">
        <v>100</v>
      </c>
      <c r="J661" s="1">
        <v>3175939</v>
      </c>
      <c r="L661" s="1" t="s">
        <v>1416</v>
      </c>
      <c r="M661" s="1" t="s">
        <v>1416</v>
      </c>
      <c r="N661" s="1" t="s">
        <v>22</v>
      </c>
      <c r="O661" s="1">
        <v>1</v>
      </c>
      <c r="P661" s="1" t="b">
        <v>1</v>
      </c>
      <c r="R661" s="1">
        <f t="shared" si="46"/>
        <v>0</v>
      </c>
      <c r="T661" s="1">
        <f t="shared" si="47"/>
        <v>0</v>
      </c>
      <c r="U661" s="1">
        <f t="shared" si="48"/>
        <v>0</v>
      </c>
    </row>
    <row r="662" spans="1:21" x14ac:dyDescent="0.25">
      <c r="A662" s="1" t="s">
        <v>1417</v>
      </c>
      <c r="B662" s="1" t="s">
        <v>1418</v>
      </c>
      <c r="C662" s="1" t="s">
        <v>19</v>
      </c>
      <c r="D662" s="2">
        <v>45785</v>
      </c>
      <c r="E662" s="2">
        <v>45806</v>
      </c>
      <c r="F662" s="2">
        <v>45785</v>
      </c>
      <c r="G662" s="2">
        <v>45806</v>
      </c>
      <c r="H662" s="1" t="s">
        <v>20</v>
      </c>
      <c r="I662" s="1">
        <v>100</v>
      </c>
      <c r="J662" s="1">
        <v>21294251</v>
      </c>
      <c r="L662" s="1" t="s">
        <v>1419</v>
      </c>
      <c r="M662" s="1" t="s">
        <v>1419</v>
      </c>
      <c r="N662" s="1" t="s">
        <v>22</v>
      </c>
      <c r="O662" s="1">
        <v>1</v>
      </c>
      <c r="P662" s="1" t="b">
        <v>1</v>
      </c>
      <c r="R662" s="1">
        <f t="shared" si="46"/>
        <v>0</v>
      </c>
      <c r="T662" s="1">
        <f t="shared" si="47"/>
        <v>0</v>
      </c>
      <c r="U662" s="1">
        <f t="shared" si="48"/>
        <v>0</v>
      </c>
    </row>
    <row r="663" spans="1:21" x14ac:dyDescent="0.25">
      <c r="A663" s="1" t="s">
        <v>1420</v>
      </c>
      <c r="B663" s="1" t="s">
        <v>1418</v>
      </c>
      <c r="C663" s="1" t="s">
        <v>24</v>
      </c>
      <c r="D663" s="2">
        <v>45806</v>
      </c>
      <c r="E663" s="2">
        <v>45848</v>
      </c>
      <c r="F663" s="2">
        <v>45806</v>
      </c>
      <c r="G663" s="2">
        <v>45848</v>
      </c>
      <c r="H663" s="1" t="s">
        <v>20</v>
      </c>
      <c r="I663" s="1">
        <v>100</v>
      </c>
      <c r="J663" s="1">
        <v>42588502</v>
      </c>
      <c r="L663" s="1" t="s">
        <v>1421</v>
      </c>
      <c r="M663" s="1" t="s">
        <v>1421</v>
      </c>
      <c r="N663" s="1" t="s">
        <v>22</v>
      </c>
      <c r="O663" s="1">
        <v>1</v>
      </c>
      <c r="P663" s="1" t="b">
        <v>1</v>
      </c>
      <c r="R663" s="1">
        <f t="shared" si="46"/>
        <v>0</v>
      </c>
      <c r="T663" s="1">
        <f t="shared" si="47"/>
        <v>0</v>
      </c>
      <c r="U663" s="1">
        <f t="shared" si="48"/>
        <v>0</v>
      </c>
    </row>
    <row r="664" spans="1:21" x14ac:dyDescent="0.25">
      <c r="A664" s="1" t="s">
        <v>1422</v>
      </c>
      <c r="B664" s="1" t="s">
        <v>1418</v>
      </c>
      <c r="C664" s="1" t="s">
        <v>27</v>
      </c>
      <c r="D664" s="2">
        <v>45848</v>
      </c>
      <c r="E664" s="2">
        <v>45898</v>
      </c>
      <c r="F664" s="2">
        <v>45848</v>
      </c>
      <c r="G664" s="2">
        <v>45898</v>
      </c>
      <c r="H664" s="1" t="s">
        <v>20</v>
      </c>
      <c r="I664" s="1">
        <v>100</v>
      </c>
      <c r="J664" s="1">
        <v>51106202</v>
      </c>
      <c r="L664" s="1" t="s">
        <v>1423</v>
      </c>
      <c r="M664" s="1" t="s">
        <v>1423</v>
      </c>
      <c r="N664" s="1" t="s">
        <v>22</v>
      </c>
      <c r="O664" s="1">
        <v>1</v>
      </c>
      <c r="P664" s="1" t="b">
        <v>1</v>
      </c>
      <c r="Q664" s="1" t="s">
        <v>29</v>
      </c>
      <c r="R664" s="1">
        <f t="shared" si="46"/>
        <v>0</v>
      </c>
      <c r="T664" s="1">
        <f t="shared" si="47"/>
        <v>0</v>
      </c>
      <c r="U664" s="1">
        <f t="shared" si="48"/>
        <v>0</v>
      </c>
    </row>
    <row r="665" spans="1:21" x14ac:dyDescent="0.25">
      <c r="A665" s="1" t="s">
        <v>1424</v>
      </c>
      <c r="B665" s="1" t="s">
        <v>1418</v>
      </c>
      <c r="C665" s="1" t="s">
        <v>31</v>
      </c>
      <c r="D665" s="2">
        <v>45898</v>
      </c>
      <c r="E665" s="2">
        <v>45961</v>
      </c>
      <c r="F665" s="2">
        <v>45898</v>
      </c>
      <c r="G665" s="2">
        <v>45961</v>
      </c>
      <c r="H665" s="1" t="s">
        <v>20</v>
      </c>
      <c r="I665" s="1">
        <v>100</v>
      </c>
      <c r="J665" s="1">
        <v>63882753</v>
      </c>
      <c r="L665" s="1" t="s">
        <v>1425</v>
      </c>
      <c r="M665" s="1" t="s">
        <v>1425</v>
      </c>
      <c r="N665" s="1" t="s">
        <v>22</v>
      </c>
      <c r="O665" s="1">
        <v>1</v>
      </c>
      <c r="P665" s="1" t="b">
        <v>1</v>
      </c>
      <c r="R665" s="1">
        <f t="shared" si="46"/>
        <v>0</v>
      </c>
      <c r="T665" s="1">
        <f t="shared" si="47"/>
        <v>0</v>
      </c>
      <c r="U665" s="1">
        <f t="shared" si="48"/>
        <v>0</v>
      </c>
    </row>
    <row r="666" spans="1:21" x14ac:dyDescent="0.25">
      <c r="A666" s="1" t="s">
        <v>1426</v>
      </c>
      <c r="B666" s="1" t="s">
        <v>1418</v>
      </c>
      <c r="C666" s="1" t="s">
        <v>34</v>
      </c>
      <c r="D666" s="2">
        <v>45961</v>
      </c>
      <c r="E666" s="2">
        <v>46066</v>
      </c>
      <c r="F666" s="2">
        <v>45961</v>
      </c>
      <c r="G666" s="2">
        <v>46066</v>
      </c>
      <c r="H666" s="1" t="s">
        <v>20</v>
      </c>
      <c r="I666" s="1">
        <v>100</v>
      </c>
      <c r="J666" s="1">
        <v>106471255</v>
      </c>
      <c r="L666" s="1" t="s">
        <v>1427</v>
      </c>
      <c r="M666" s="1" t="s">
        <v>1427</v>
      </c>
      <c r="N666" s="1" t="s">
        <v>22</v>
      </c>
      <c r="O666" s="1">
        <v>1</v>
      </c>
      <c r="P666" s="1" t="b">
        <v>1</v>
      </c>
      <c r="Q666" s="1" t="s">
        <v>29</v>
      </c>
      <c r="R666" s="1">
        <f t="shared" si="46"/>
        <v>0</v>
      </c>
      <c r="T666" s="1">
        <f t="shared" si="47"/>
        <v>0</v>
      </c>
      <c r="U666" s="1">
        <f t="shared" si="48"/>
        <v>0</v>
      </c>
    </row>
    <row r="667" spans="1:21" x14ac:dyDescent="0.25">
      <c r="A667" s="1" t="s">
        <v>1428</v>
      </c>
      <c r="B667" s="1" t="s">
        <v>1418</v>
      </c>
      <c r="C667" s="1" t="s">
        <v>37</v>
      </c>
      <c r="D667" s="2">
        <v>46066</v>
      </c>
      <c r="E667" s="2">
        <v>46108</v>
      </c>
      <c r="F667" s="2">
        <v>46066</v>
      </c>
      <c r="H667" s="1" t="s">
        <v>38</v>
      </c>
      <c r="I667" s="1">
        <v>87</v>
      </c>
      <c r="J667" s="1">
        <v>42588502</v>
      </c>
      <c r="L667" s="1" t="s">
        <v>1429</v>
      </c>
      <c r="M667" s="1" t="s">
        <v>1429</v>
      </c>
      <c r="N667" s="1" t="s">
        <v>22</v>
      </c>
      <c r="O667" s="1">
        <v>1</v>
      </c>
      <c r="P667" s="1" t="b">
        <v>1</v>
      </c>
      <c r="S667" s="1">
        <f>R$7-E667</f>
        <v>186</v>
      </c>
      <c r="T667" s="1">
        <f t="shared" si="47"/>
        <v>1</v>
      </c>
      <c r="U667" s="1">
        <f t="shared" si="48"/>
        <v>186</v>
      </c>
    </row>
    <row r="668" spans="1:21" x14ac:dyDescent="0.25">
      <c r="A668" s="1" t="s">
        <v>1430</v>
      </c>
      <c r="B668" s="1" t="s">
        <v>1418</v>
      </c>
      <c r="C668" s="1" t="s">
        <v>41</v>
      </c>
      <c r="D668" s="2">
        <v>46108</v>
      </c>
      <c r="E668" s="2">
        <v>46141</v>
      </c>
      <c r="H668" s="1" t="s">
        <v>42</v>
      </c>
      <c r="I668" s="1">
        <v>0</v>
      </c>
      <c r="J668" s="1">
        <v>34070801</v>
      </c>
      <c r="L668" s="1" t="s">
        <v>1431</v>
      </c>
      <c r="M668" s="1" t="s">
        <v>1431</v>
      </c>
      <c r="N668" s="1" t="s">
        <v>22</v>
      </c>
      <c r="O668" s="1">
        <v>1</v>
      </c>
      <c r="P668" s="1" t="b">
        <v>1</v>
      </c>
      <c r="S668" s="1">
        <f>R$7-E668</f>
        <v>153</v>
      </c>
      <c r="T668" s="1">
        <f t="shared" si="47"/>
        <v>1</v>
      </c>
      <c r="U668" s="1">
        <f t="shared" si="48"/>
        <v>153</v>
      </c>
    </row>
    <row r="669" spans="1:21" x14ac:dyDescent="0.25">
      <c r="A669" s="1" t="s">
        <v>1432</v>
      </c>
      <c r="B669" s="1" t="s">
        <v>1418</v>
      </c>
      <c r="C669" s="1" t="s">
        <v>45</v>
      </c>
      <c r="D669" s="2">
        <v>46141</v>
      </c>
      <c r="E669" s="2">
        <v>46183</v>
      </c>
      <c r="H669" s="1" t="s">
        <v>42</v>
      </c>
      <c r="I669" s="1">
        <v>0</v>
      </c>
      <c r="J669" s="1">
        <v>42588502</v>
      </c>
      <c r="L669" s="1" t="s">
        <v>1433</v>
      </c>
      <c r="M669" s="1" t="s">
        <v>1433</v>
      </c>
      <c r="N669" s="1" t="s">
        <v>22</v>
      </c>
      <c r="O669" s="1">
        <v>1</v>
      </c>
      <c r="P669" s="1" t="b">
        <v>1</v>
      </c>
      <c r="S669" s="1">
        <f>R$7-E669</f>
        <v>111</v>
      </c>
      <c r="T669" s="1">
        <f t="shared" si="47"/>
        <v>1</v>
      </c>
      <c r="U669" s="1">
        <f t="shared" si="48"/>
        <v>111</v>
      </c>
    </row>
    <row r="670" spans="1:21" x14ac:dyDescent="0.25">
      <c r="A670" s="1" t="s">
        <v>1434</v>
      </c>
      <c r="B670" s="1" t="s">
        <v>1418</v>
      </c>
      <c r="C670" s="1" t="s">
        <v>48</v>
      </c>
      <c r="D670" s="2">
        <v>46183</v>
      </c>
      <c r="E670" s="2">
        <v>46195</v>
      </c>
      <c r="H670" s="1" t="s">
        <v>42</v>
      </c>
      <c r="I670" s="1">
        <v>0</v>
      </c>
      <c r="J670" s="1">
        <v>12776550</v>
      </c>
      <c r="L670" s="1" t="s">
        <v>1435</v>
      </c>
      <c r="M670" s="1" t="s">
        <v>1435</v>
      </c>
      <c r="N670" s="1" t="s">
        <v>22</v>
      </c>
      <c r="O670" s="1">
        <v>1</v>
      </c>
      <c r="P670" s="1" t="b">
        <v>1</v>
      </c>
      <c r="S670" s="1">
        <f>R$7-E670</f>
        <v>99</v>
      </c>
      <c r="T670" s="1">
        <f t="shared" si="47"/>
        <v>1</v>
      </c>
      <c r="U670" s="1">
        <f t="shared" si="48"/>
        <v>99</v>
      </c>
    </row>
    <row r="671" spans="1:21" x14ac:dyDescent="0.25">
      <c r="A671" s="1" t="s">
        <v>1436</v>
      </c>
      <c r="B671" s="1" t="s">
        <v>1418</v>
      </c>
      <c r="C671" s="1" t="s">
        <v>51</v>
      </c>
      <c r="D671" s="2">
        <v>46195</v>
      </c>
      <c r="E671" s="2">
        <v>46203</v>
      </c>
      <c r="H671" s="1" t="s">
        <v>42</v>
      </c>
      <c r="I671" s="1">
        <v>0</v>
      </c>
      <c r="J671" s="1">
        <v>8517700</v>
      </c>
      <c r="L671" s="1" t="s">
        <v>1437</v>
      </c>
      <c r="M671" s="1" t="s">
        <v>1437</v>
      </c>
      <c r="N671" s="1" t="s">
        <v>22</v>
      </c>
      <c r="O671" s="1">
        <v>1</v>
      </c>
      <c r="P671" s="1" t="b">
        <v>1</v>
      </c>
      <c r="S671" s="1">
        <f>R$7-E671</f>
        <v>91</v>
      </c>
      <c r="T671" s="1">
        <f t="shared" si="47"/>
        <v>1</v>
      </c>
      <c r="U671" s="1">
        <f t="shared" si="48"/>
        <v>91</v>
      </c>
    </row>
    <row r="672" spans="1:21" x14ac:dyDescent="0.25">
      <c r="A672" s="1" t="s">
        <v>1438</v>
      </c>
      <c r="B672" s="1" t="s">
        <v>1439</v>
      </c>
      <c r="C672" s="1" t="s">
        <v>19</v>
      </c>
      <c r="D672" s="2">
        <v>44692</v>
      </c>
      <c r="E672" s="2">
        <v>44747</v>
      </c>
      <c r="F672" s="2">
        <v>44692</v>
      </c>
      <c r="G672" s="2">
        <v>44747</v>
      </c>
      <c r="H672" s="1" t="s">
        <v>20</v>
      </c>
      <c r="I672" s="1">
        <v>100</v>
      </c>
      <c r="J672" s="1">
        <v>11133741</v>
      </c>
      <c r="L672" s="1" t="s">
        <v>1440</v>
      </c>
      <c r="M672" s="1" t="s">
        <v>1440</v>
      </c>
      <c r="N672" s="1" t="s">
        <v>22</v>
      </c>
      <c r="O672" s="1">
        <v>1</v>
      </c>
      <c r="P672" s="1" t="b">
        <v>1</v>
      </c>
      <c r="R672" s="1">
        <f t="shared" ref="R672:R684" si="49">G672-E672</f>
        <v>0</v>
      </c>
      <c r="T672" s="1">
        <f t="shared" si="47"/>
        <v>0</v>
      </c>
      <c r="U672" s="1">
        <f t="shared" si="48"/>
        <v>0</v>
      </c>
    </row>
    <row r="673" spans="1:21" x14ac:dyDescent="0.25">
      <c r="A673" s="1" t="s">
        <v>1441</v>
      </c>
      <c r="B673" s="1" t="s">
        <v>1439</v>
      </c>
      <c r="C673" s="1" t="s">
        <v>24</v>
      </c>
      <c r="D673" s="2">
        <v>44747</v>
      </c>
      <c r="E673" s="2">
        <v>44858</v>
      </c>
      <c r="F673" s="2">
        <v>44747</v>
      </c>
      <c r="G673" s="2">
        <v>44858</v>
      </c>
      <c r="H673" s="1" t="s">
        <v>20</v>
      </c>
      <c r="I673" s="1">
        <v>100</v>
      </c>
      <c r="J673" s="1">
        <v>22267483</v>
      </c>
      <c r="L673" s="1" t="s">
        <v>1442</v>
      </c>
      <c r="M673" s="1" t="s">
        <v>1442</v>
      </c>
      <c r="N673" s="1" t="s">
        <v>22</v>
      </c>
      <c r="O673" s="1">
        <v>1</v>
      </c>
      <c r="P673" s="1" t="b">
        <v>1</v>
      </c>
      <c r="R673" s="1">
        <f t="shared" si="49"/>
        <v>0</v>
      </c>
      <c r="T673" s="1">
        <f t="shared" si="47"/>
        <v>0</v>
      </c>
      <c r="U673" s="1">
        <f t="shared" si="48"/>
        <v>0</v>
      </c>
    </row>
    <row r="674" spans="1:21" x14ac:dyDescent="0.25">
      <c r="A674" s="1" t="s">
        <v>1443</v>
      </c>
      <c r="B674" s="1" t="s">
        <v>1439</v>
      </c>
      <c r="C674" s="1" t="s">
        <v>27</v>
      </c>
      <c r="D674" s="2">
        <v>44858</v>
      </c>
      <c r="E674" s="2">
        <v>44991</v>
      </c>
      <c r="F674" s="2">
        <v>44858</v>
      </c>
      <c r="G674" s="2">
        <v>44991</v>
      </c>
      <c r="H674" s="1" t="s">
        <v>20</v>
      </c>
      <c r="I674" s="1">
        <v>100</v>
      </c>
      <c r="J674" s="1">
        <v>26720979</v>
      </c>
      <c r="L674" s="1" t="s">
        <v>1444</v>
      </c>
      <c r="M674" s="1" t="s">
        <v>1444</v>
      </c>
      <c r="N674" s="1" t="s">
        <v>22</v>
      </c>
      <c r="O674" s="1">
        <v>1</v>
      </c>
      <c r="P674" s="1" t="b">
        <v>1</v>
      </c>
      <c r="Q674" s="1" t="s">
        <v>29</v>
      </c>
      <c r="R674" s="1">
        <f t="shared" si="49"/>
        <v>0</v>
      </c>
      <c r="T674" s="1">
        <f t="shared" si="47"/>
        <v>0</v>
      </c>
      <c r="U674" s="1">
        <f t="shared" si="48"/>
        <v>0</v>
      </c>
    </row>
    <row r="675" spans="1:21" x14ac:dyDescent="0.25">
      <c r="A675" s="1" t="s">
        <v>1445</v>
      </c>
      <c r="B675" s="1" t="s">
        <v>1439</v>
      </c>
      <c r="C675" s="1" t="s">
        <v>31</v>
      </c>
      <c r="D675" s="2">
        <v>44991</v>
      </c>
      <c r="E675" s="2">
        <v>45157</v>
      </c>
      <c r="F675" s="2">
        <v>44991</v>
      </c>
      <c r="G675" s="2">
        <v>45157</v>
      </c>
      <c r="H675" s="1" t="s">
        <v>20</v>
      </c>
      <c r="I675" s="1">
        <v>100</v>
      </c>
      <c r="J675" s="1">
        <v>33401224</v>
      </c>
      <c r="L675" s="1" t="s">
        <v>1446</v>
      </c>
      <c r="M675" s="1" t="s">
        <v>1446</v>
      </c>
      <c r="N675" s="1" t="s">
        <v>22</v>
      </c>
      <c r="O675" s="1">
        <v>1</v>
      </c>
      <c r="P675" s="1" t="b">
        <v>1</v>
      </c>
      <c r="R675" s="1">
        <f t="shared" si="49"/>
        <v>0</v>
      </c>
      <c r="T675" s="1">
        <f t="shared" si="47"/>
        <v>0</v>
      </c>
      <c r="U675" s="1">
        <f t="shared" si="48"/>
        <v>0</v>
      </c>
    </row>
    <row r="676" spans="1:21" x14ac:dyDescent="0.25">
      <c r="A676" s="1" t="s">
        <v>1447</v>
      </c>
      <c r="B676" s="1" t="s">
        <v>1439</v>
      </c>
      <c r="C676" s="1" t="s">
        <v>34</v>
      </c>
      <c r="D676" s="2">
        <v>45157</v>
      </c>
      <c r="E676" s="2">
        <v>45434</v>
      </c>
      <c r="F676" s="2">
        <v>45157</v>
      </c>
      <c r="G676" s="2">
        <v>45434</v>
      </c>
      <c r="H676" s="1" t="s">
        <v>20</v>
      </c>
      <c r="I676" s="1">
        <v>100</v>
      </c>
      <c r="J676" s="1">
        <v>55668707</v>
      </c>
      <c r="L676" s="1" t="s">
        <v>1448</v>
      </c>
      <c r="M676" s="1" t="s">
        <v>1448</v>
      </c>
      <c r="N676" s="1" t="s">
        <v>22</v>
      </c>
      <c r="O676" s="1">
        <v>1</v>
      </c>
      <c r="P676" s="1" t="b">
        <v>1</v>
      </c>
      <c r="Q676" s="1" t="s">
        <v>29</v>
      </c>
      <c r="R676" s="1">
        <f t="shared" si="49"/>
        <v>0</v>
      </c>
      <c r="T676" s="1">
        <f t="shared" si="47"/>
        <v>0</v>
      </c>
      <c r="U676" s="1">
        <f t="shared" si="48"/>
        <v>0</v>
      </c>
    </row>
    <row r="677" spans="1:21" x14ac:dyDescent="0.25">
      <c r="A677" s="1" t="s">
        <v>1449</v>
      </c>
      <c r="B677" s="1" t="s">
        <v>1439</v>
      </c>
      <c r="C677" s="1" t="s">
        <v>37</v>
      </c>
      <c r="D677" s="2">
        <v>45434</v>
      </c>
      <c r="E677" s="2">
        <v>45545</v>
      </c>
      <c r="F677" s="2">
        <v>45434</v>
      </c>
      <c r="G677" s="2">
        <v>45545</v>
      </c>
      <c r="H677" s="1" t="s">
        <v>20</v>
      </c>
      <c r="I677" s="1">
        <v>100</v>
      </c>
      <c r="J677" s="1">
        <v>22267483</v>
      </c>
      <c r="L677" s="1" t="s">
        <v>1450</v>
      </c>
      <c r="M677" s="1" t="s">
        <v>1450</v>
      </c>
      <c r="N677" s="1" t="s">
        <v>22</v>
      </c>
      <c r="O677" s="1">
        <v>1</v>
      </c>
      <c r="P677" s="1" t="b">
        <v>1</v>
      </c>
      <c r="R677" s="1">
        <f t="shared" si="49"/>
        <v>0</v>
      </c>
      <c r="T677" s="1">
        <f t="shared" si="47"/>
        <v>0</v>
      </c>
      <c r="U677" s="1">
        <f t="shared" si="48"/>
        <v>0</v>
      </c>
    </row>
    <row r="678" spans="1:21" x14ac:dyDescent="0.25">
      <c r="A678" s="1" t="s">
        <v>1451</v>
      </c>
      <c r="B678" s="1" t="s">
        <v>1439</v>
      </c>
      <c r="C678" s="1" t="s">
        <v>41</v>
      </c>
      <c r="D678" s="2">
        <v>45545</v>
      </c>
      <c r="E678" s="2">
        <v>45633</v>
      </c>
      <c r="F678" s="2">
        <v>45545</v>
      </c>
      <c r="G678" s="2">
        <v>45633</v>
      </c>
      <c r="H678" s="1" t="s">
        <v>20</v>
      </c>
      <c r="I678" s="1">
        <v>100</v>
      </c>
      <c r="J678" s="1">
        <v>17813986</v>
      </c>
      <c r="L678" s="1" t="s">
        <v>1452</v>
      </c>
      <c r="M678" s="1" t="s">
        <v>1452</v>
      </c>
      <c r="N678" s="1" t="s">
        <v>22</v>
      </c>
      <c r="O678" s="1">
        <v>1</v>
      </c>
      <c r="P678" s="1" t="b">
        <v>1</v>
      </c>
      <c r="R678" s="1">
        <f t="shared" si="49"/>
        <v>0</v>
      </c>
      <c r="T678" s="1">
        <f t="shared" si="47"/>
        <v>0</v>
      </c>
      <c r="U678" s="1">
        <f t="shared" si="48"/>
        <v>0</v>
      </c>
    </row>
    <row r="679" spans="1:21" x14ac:dyDescent="0.25">
      <c r="A679" s="1" t="s">
        <v>1453</v>
      </c>
      <c r="B679" s="1" t="s">
        <v>1439</v>
      </c>
      <c r="C679" s="1" t="s">
        <v>45</v>
      </c>
      <c r="D679" s="2">
        <v>45633</v>
      </c>
      <c r="E679" s="2">
        <v>45744</v>
      </c>
      <c r="F679" s="2">
        <v>45633</v>
      </c>
      <c r="G679" s="2">
        <v>45744</v>
      </c>
      <c r="H679" s="1" t="s">
        <v>20</v>
      </c>
      <c r="I679" s="1">
        <v>100</v>
      </c>
      <c r="J679" s="1">
        <v>22267483</v>
      </c>
      <c r="L679" s="1" t="s">
        <v>1454</v>
      </c>
      <c r="M679" s="1" t="s">
        <v>1454</v>
      </c>
      <c r="N679" s="1" t="s">
        <v>22</v>
      </c>
      <c r="O679" s="1">
        <v>1</v>
      </c>
      <c r="P679" s="1" t="b">
        <v>1</v>
      </c>
      <c r="R679" s="1">
        <f t="shared" si="49"/>
        <v>0</v>
      </c>
      <c r="T679" s="1">
        <f t="shared" si="47"/>
        <v>0</v>
      </c>
      <c r="U679" s="1">
        <f t="shared" si="48"/>
        <v>0</v>
      </c>
    </row>
    <row r="680" spans="1:21" x14ac:dyDescent="0.25">
      <c r="A680" s="1" t="s">
        <v>1455</v>
      </c>
      <c r="B680" s="1" t="s">
        <v>1439</v>
      </c>
      <c r="C680" s="1" t="s">
        <v>48</v>
      </c>
      <c r="D680" s="2">
        <v>45744</v>
      </c>
      <c r="E680" s="2">
        <v>45777</v>
      </c>
      <c r="F680" s="2">
        <v>45744</v>
      </c>
      <c r="G680" s="2">
        <v>45777</v>
      </c>
      <c r="H680" s="1" t="s">
        <v>20</v>
      </c>
      <c r="I680" s="1">
        <v>100</v>
      </c>
      <c r="J680" s="1">
        <v>6680244</v>
      </c>
      <c r="L680" s="1" t="s">
        <v>1456</v>
      </c>
      <c r="M680" s="1" t="s">
        <v>1456</v>
      </c>
      <c r="N680" s="1" t="s">
        <v>22</v>
      </c>
      <c r="O680" s="1">
        <v>1</v>
      </c>
      <c r="P680" s="1" t="b">
        <v>1</v>
      </c>
      <c r="R680" s="1">
        <f t="shared" si="49"/>
        <v>0</v>
      </c>
      <c r="T680" s="1">
        <f t="shared" si="47"/>
        <v>0</v>
      </c>
      <c r="U680" s="1">
        <f t="shared" si="48"/>
        <v>0</v>
      </c>
    </row>
    <row r="681" spans="1:21" x14ac:dyDescent="0.25">
      <c r="A681" s="1" t="s">
        <v>1457</v>
      </c>
      <c r="B681" s="1" t="s">
        <v>1439</v>
      </c>
      <c r="C681" s="1" t="s">
        <v>51</v>
      </c>
      <c r="D681" s="2">
        <v>45777</v>
      </c>
      <c r="E681" s="2">
        <v>45799</v>
      </c>
      <c r="F681" s="2">
        <v>45777</v>
      </c>
      <c r="G681" s="2">
        <v>45799</v>
      </c>
      <c r="H681" s="1" t="s">
        <v>20</v>
      </c>
      <c r="I681" s="1">
        <v>100</v>
      </c>
      <c r="J681" s="1">
        <v>4453496</v>
      </c>
      <c r="L681" s="1" t="s">
        <v>1458</v>
      </c>
      <c r="M681" s="1" t="s">
        <v>1458</v>
      </c>
      <c r="N681" s="1" t="s">
        <v>22</v>
      </c>
      <c r="O681" s="1">
        <v>1</v>
      </c>
      <c r="P681" s="1" t="b">
        <v>1</v>
      </c>
      <c r="R681" s="1">
        <f t="shared" si="49"/>
        <v>0</v>
      </c>
      <c r="T681" s="1">
        <f t="shared" si="47"/>
        <v>0</v>
      </c>
      <c r="U681" s="1">
        <f t="shared" si="48"/>
        <v>0</v>
      </c>
    </row>
    <row r="682" spans="1:21" x14ac:dyDescent="0.25">
      <c r="A682" s="1" t="s">
        <v>1459</v>
      </c>
      <c r="B682" s="1" t="s">
        <v>1460</v>
      </c>
      <c r="C682" s="1" t="s">
        <v>19</v>
      </c>
      <c r="D682" s="2">
        <v>45803</v>
      </c>
      <c r="E682" s="2">
        <v>45846</v>
      </c>
      <c r="F682" s="2">
        <v>45803</v>
      </c>
      <c r="G682" s="2">
        <v>45846</v>
      </c>
      <c r="H682" s="1" t="s">
        <v>20</v>
      </c>
      <c r="I682" s="1">
        <v>100</v>
      </c>
      <c r="J682" s="1">
        <v>6324573</v>
      </c>
      <c r="L682" s="1" t="s">
        <v>1461</v>
      </c>
      <c r="M682" s="1" t="s">
        <v>1461</v>
      </c>
      <c r="N682" s="1" t="s">
        <v>22</v>
      </c>
      <c r="O682" s="1">
        <v>1</v>
      </c>
      <c r="P682" s="1" t="b">
        <v>1</v>
      </c>
      <c r="R682" s="1">
        <f t="shared" si="49"/>
        <v>0</v>
      </c>
      <c r="T682" s="1">
        <f t="shared" si="47"/>
        <v>0</v>
      </c>
      <c r="U682" s="1">
        <f t="shared" si="48"/>
        <v>0</v>
      </c>
    </row>
    <row r="683" spans="1:21" x14ac:dyDescent="0.25">
      <c r="A683" s="1" t="s">
        <v>1462</v>
      </c>
      <c r="B683" s="1" t="s">
        <v>1460</v>
      </c>
      <c r="C683" s="1" t="s">
        <v>24</v>
      </c>
      <c r="D683" s="2">
        <v>45846</v>
      </c>
      <c r="E683" s="2">
        <v>45933</v>
      </c>
      <c r="F683" s="2">
        <v>45846</v>
      </c>
      <c r="G683" s="2">
        <v>45933</v>
      </c>
      <c r="H683" s="1" t="s">
        <v>20</v>
      </c>
      <c r="I683" s="1">
        <v>100</v>
      </c>
      <c r="J683" s="1">
        <v>12649147</v>
      </c>
      <c r="L683" s="1" t="s">
        <v>1463</v>
      </c>
      <c r="M683" s="1" t="s">
        <v>1463</v>
      </c>
      <c r="N683" s="1" t="s">
        <v>22</v>
      </c>
      <c r="O683" s="1">
        <v>1</v>
      </c>
      <c r="P683" s="1" t="b">
        <v>1</v>
      </c>
      <c r="R683" s="1">
        <f t="shared" si="49"/>
        <v>0</v>
      </c>
      <c r="T683" s="1">
        <f t="shared" si="47"/>
        <v>0</v>
      </c>
      <c r="U683" s="1">
        <f t="shared" si="48"/>
        <v>0</v>
      </c>
    </row>
    <row r="684" spans="1:21" x14ac:dyDescent="0.25">
      <c r="A684" s="1" t="s">
        <v>1464</v>
      </c>
      <c r="B684" s="1" t="s">
        <v>1460</v>
      </c>
      <c r="C684" s="1" t="s">
        <v>27</v>
      </c>
      <c r="D684" s="2">
        <v>45933</v>
      </c>
      <c r="E684" s="2">
        <v>46037</v>
      </c>
      <c r="F684" s="2">
        <v>45933</v>
      </c>
      <c r="G684" s="2">
        <v>46037</v>
      </c>
      <c r="H684" s="1" t="s">
        <v>20</v>
      </c>
      <c r="I684" s="1">
        <v>100</v>
      </c>
      <c r="J684" s="1">
        <v>15178977</v>
      </c>
      <c r="L684" s="1" t="s">
        <v>1465</v>
      </c>
      <c r="M684" s="1" t="s">
        <v>1465</v>
      </c>
      <c r="N684" s="1" t="s">
        <v>22</v>
      </c>
      <c r="O684" s="1">
        <v>1</v>
      </c>
      <c r="P684" s="1" t="b">
        <v>1</v>
      </c>
      <c r="Q684" s="1" t="s">
        <v>29</v>
      </c>
      <c r="R684" s="1">
        <f t="shared" si="49"/>
        <v>0</v>
      </c>
      <c r="T684" s="1">
        <f t="shared" si="47"/>
        <v>0</v>
      </c>
      <c r="U684" s="1">
        <f t="shared" si="48"/>
        <v>0</v>
      </c>
    </row>
    <row r="685" spans="1:21" x14ac:dyDescent="0.25">
      <c r="A685" s="1" t="s">
        <v>1466</v>
      </c>
      <c r="B685" s="1" t="s">
        <v>1460</v>
      </c>
      <c r="C685" s="1" t="s">
        <v>31</v>
      </c>
      <c r="D685" s="2">
        <v>46037</v>
      </c>
      <c r="E685" s="2">
        <v>46167</v>
      </c>
      <c r="F685" s="2">
        <v>46037</v>
      </c>
      <c r="H685" s="1" t="s">
        <v>38</v>
      </c>
      <c r="I685" s="1">
        <v>21</v>
      </c>
      <c r="J685" s="1">
        <v>18973721</v>
      </c>
      <c r="L685" s="1" t="s">
        <v>1467</v>
      </c>
      <c r="M685" s="1" t="s">
        <v>1467</v>
      </c>
      <c r="N685" s="1" t="s">
        <v>22</v>
      </c>
      <c r="O685" s="1">
        <v>1</v>
      </c>
      <c r="P685" s="1" t="b">
        <v>1</v>
      </c>
      <c r="S685" s="1">
        <f t="shared" ref="S685:S691" si="50">R$7-E685</f>
        <v>127</v>
      </c>
      <c r="T685" s="1">
        <f t="shared" si="47"/>
        <v>1</v>
      </c>
      <c r="U685" s="1">
        <f t="shared" si="48"/>
        <v>127</v>
      </c>
    </row>
    <row r="686" spans="1:21" x14ac:dyDescent="0.25">
      <c r="A686" s="1" t="s">
        <v>1468</v>
      </c>
      <c r="B686" s="1" t="s">
        <v>1460</v>
      </c>
      <c r="C686" s="1" t="s">
        <v>34</v>
      </c>
      <c r="D686" s="2">
        <v>46167</v>
      </c>
      <c r="E686" s="2">
        <v>46384</v>
      </c>
      <c r="H686" s="1" t="s">
        <v>42</v>
      </c>
      <c r="I686" s="1">
        <v>0</v>
      </c>
      <c r="J686" s="1">
        <v>31622869</v>
      </c>
      <c r="L686" s="1" t="s">
        <v>1469</v>
      </c>
      <c r="M686" s="1" t="s">
        <v>1469</v>
      </c>
      <c r="N686" s="1" t="s">
        <v>22</v>
      </c>
      <c r="O686" s="1">
        <v>1</v>
      </c>
      <c r="P686" s="1" t="b">
        <v>1</v>
      </c>
      <c r="Q686" s="1" t="s">
        <v>29</v>
      </c>
      <c r="S686" s="1">
        <f t="shared" si="50"/>
        <v>-90</v>
      </c>
      <c r="T686" s="1">
        <f t="shared" si="47"/>
        <v>0</v>
      </c>
      <c r="U686" s="1">
        <f t="shared" si="48"/>
        <v>0</v>
      </c>
    </row>
    <row r="687" spans="1:21" x14ac:dyDescent="0.25">
      <c r="A687" s="1" t="s">
        <v>1470</v>
      </c>
      <c r="B687" s="1" t="s">
        <v>1460</v>
      </c>
      <c r="C687" s="1" t="s">
        <v>37</v>
      </c>
      <c r="D687" s="2">
        <v>46384</v>
      </c>
      <c r="E687" s="2">
        <v>46471</v>
      </c>
      <c r="H687" s="1" t="s">
        <v>42</v>
      </c>
      <c r="I687" s="1">
        <v>0</v>
      </c>
      <c r="J687" s="1">
        <v>12649147</v>
      </c>
      <c r="L687" s="1" t="s">
        <v>1471</v>
      </c>
      <c r="M687" s="1" t="s">
        <v>1471</v>
      </c>
      <c r="N687" s="1" t="s">
        <v>22</v>
      </c>
      <c r="O687" s="1">
        <v>1</v>
      </c>
      <c r="P687" s="1" t="b">
        <v>1</v>
      </c>
      <c r="S687" s="1">
        <f t="shared" si="50"/>
        <v>-177</v>
      </c>
      <c r="T687" s="1">
        <f t="shared" si="47"/>
        <v>0</v>
      </c>
      <c r="U687" s="1">
        <f t="shared" si="48"/>
        <v>0</v>
      </c>
    </row>
    <row r="688" spans="1:21" x14ac:dyDescent="0.25">
      <c r="A688" s="1" t="s">
        <v>1472</v>
      </c>
      <c r="B688" s="1" t="s">
        <v>1460</v>
      </c>
      <c r="C688" s="1" t="s">
        <v>41</v>
      </c>
      <c r="D688" s="2">
        <v>46471</v>
      </c>
      <c r="E688" s="2">
        <v>46540</v>
      </c>
      <c r="H688" s="1" t="s">
        <v>42</v>
      </c>
      <c r="I688" s="1">
        <v>0</v>
      </c>
      <c r="J688" s="1">
        <v>10119318</v>
      </c>
      <c r="L688" s="1" t="s">
        <v>1473</v>
      </c>
      <c r="M688" s="1" t="s">
        <v>1473</v>
      </c>
      <c r="N688" s="1" t="s">
        <v>22</v>
      </c>
      <c r="O688" s="1">
        <v>1</v>
      </c>
      <c r="P688" s="1" t="b">
        <v>1</v>
      </c>
      <c r="S688" s="1">
        <f t="shared" si="50"/>
        <v>-246</v>
      </c>
      <c r="T688" s="1">
        <f t="shared" si="47"/>
        <v>0</v>
      </c>
      <c r="U688" s="1">
        <f t="shared" si="48"/>
        <v>0</v>
      </c>
    </row>
    <row r="689" spans="1:21" x14ac:dyDescent="0.25">
      <c r="A689" s="1" t="s">
        <v>1474</v>
      </c>
      <c r="B689" s="1" t="s">
        <v>1460</v>
      </c>
      <c r="C689" s="1" t="s">
        <v>45</v>
      </c>
      <c r="D689" s="2">
        <v>46540</v>
      </c>
      <c r="E689" s="2">
        <v>46627</v>
      </c>
      <c r="H689" s="1" t="s">
        <v>42</v>
      </c>
      <c r="I689" s="1">
        <v>0</v>
      </c>
      <c r="J689" s="1">
        <v>12649147</v>
      </c>
      <c r="L689" s="1" t="s">
        <v>1475</v>
      </c>
      <c r="M689" s="1" t="s">
        <v>1475</v>
      </c>
      <c r="N689" s="1" t="s">
        <v>22</v>
      </c>
      <c r="O689" s="1">
        <v>1</v>
      </c>
      <c r="P689" s="1" t="b">
        <v>1</v>
      </c>
      <c r="S689" s="1">
        <f t="shared" si="50"/>
        <v>-333</v>
      </c>
      <c r="T689" s="1">
        <f t="shared" si="47"/>
        <v>0</v>
      </c>
      <c r="U689" s="1">
        <f t="shared" si="48"/>
        <v>0</v>
      </c>
    </row>
    <row r="690" spans="1:21" x14ac:dyDescent="0.25">
      <c r="A690" s="1" t="s">
        <v>1476</v>
      </c>
      <c r="B690" s="1" t="s">
        <v>1460</v>
      </c>
      <c r="C690" s="1" t="s">
        <v>48</v>
      </c>
      <c r="D690" s="2">
        <v>46627</v>
      </c>
      <c r="E690" s="2">
        <v>46653</v>
      </c>
      <c r="H690" s="1" t="s">
        <v>42</v>
      </c>
      <c r="I690" s="1">
        <v>0</v>
      </c>
      <c r="J690" s="1">
        <v>3794744</v>
      </c>
      <c r="L690" s="1" t="s">
        <v>1477</v>
      </c>
      <c r="M690" s="1" t="s">
        <v>1477</v>
      </c>
      <c r="N690" s="1" t="s">
        <v>22</v>
      </c>
      <c r="O690" s="1">
        <v>1</v>
      </c>
      <c r="P690" s="1" t="b">
        <v>1</v>
      </c>
      <c r="S690" s="1">
        <f t="shared" si="50"/>
        <v>-359</v>
      </c>
      <c r="T690" s="1">
        <f t="shared" si="47"/>
        <v>0</v>
      </c>
      <c r="U690" s="1">
        <f t="shared" si="48"/>
        <v>0</v>
      </c>
    </row>
    <row r="691" spans="1:21" x14ac:dyDescent="0.25">
      <c r="A691" s="1" t="s">
        <v>1478</v>
      </c>
      <c r="B691" s="1" t="s">
        <v>1460</v>
      </c>
      <c r="C691" s="1" t="s">
        <v>51</v>
      </c>
      <c r="D691" s="2">
        <v>46653</v>
      </c>
      <c r="E691" s="2">
        <v>46670</v>
      </c>
      <c r="H691" s="1" t="s">
        <v>42</v>
      </c>
      <c r="I691" s="1">
        <v>0</v>
      </c>
      <c r="J691" s="1">
        <v>2529829</v>
      </c>
      <c r="L691" s="1" t="s">
        <v>1479</v>
      </c>
      <c r="M691" s="1" t="s">
        <v>1479</v>
      </c>
      <c r="N691" s="1" t="s">
        <v>22</v>
      </c>
      <c r="O691" s="1">
        <v>1</v>
      </c>
      <c r="P691" s="1" t="b">
        <v>1</v>
      </c>
      <c r="S691" s="1">
        <f t="shared" si="50"/>
        <v>-376</v>
      </c>
      <c r="T691" s="1">
        <f t="shared" si="47"/>
        <v>0</v>
      </c>
      <c r="U691" s="1">
        <f t="shared" si="48"/>
        <v>0</v>
      </c>
    </row>
    <row r="692" spans="1:21" x14ac:dyDescent="0.25">
      <c r="A692" s="1" t="s">
        <v>1480</v>
      </c>
      <c r="B692" s="1" t="s">
        <v>1481</v>
      </c>
      <c r="C692" s="1" t="s">
        <v>19</v>
      </c>
      <c r="D692" s="2">
        <v>45071</v>
      </c>
      <c r="E692" s="2">
        <v>45099</v>
      </c>
      <c r="F692" s="2">
        <v>45071</v>
      </c>
      <c r="G692" s="2">
        <v>45099</v>
      </c>
      <c r="H692" s="1" t="s">
        <v>20</v>
      </c>
      <c r="I692" s="1">
        <v>100</v>
      </c>
      <c r="J692" s="1">
        <v>21803816</v>
      </c>
      <c r="L692" s="1" t="s">
        <v>1482</v>
      </c>
      <c r="M692" s="1" t="s">
        <v>1482</v>
      </c>
      <c r="N692" s="1" t="s">
        <v>22</v>
      </c>
      <c r="O692" s="1">
        <v>1</v>
      </c>
      <c r="P692" s="1" t="b">
        <v>1</v>
      </c>
      <c r="R692" s="1">
        <f t="shared" ref="R692:R705" si="51">G692-E692</f>
        <v>0</v>
      </c>
      <c r="T692" s="1">
        <f t="shared" si="47"/>
        <v>0</v>
      </c>
      <c r="U692" s="1">
        <f t="shared" si="48"/>
        <v>0</v>
      </c>
    </row>
    <row r="693" spans="1:21" x14ac:dyDescent="0.25">
      <c r="A693" s="1" t="s">
        <v>1483</v>
      </c>
      <c r="B693" s="1" t="s">
        <v>1481</v>
      </c>
      <c r="C693" s="1" t="s">
        <v>24</v>
      </c>
      <c r="D693" s="2">
        <v>45099</v>
      </c>
      <c r="E693" s="2">
        <v>45156</v>
      </c>
      <c r="F693" s="2">
        <v>45099</v>
      </c>
      <c r="G693" s="2">
        <v>45156</v>
      </c>
      <c r="H693" s="1" t="s">
        <v>20</v>
      </c>
      <c r="I693" s="1">
        <v>100</v>
      </c>
      <c r="J693" s="1">
        <v>43607633</v>
      </c>
      <c r="L693" s="1" t="s">
        <v>1484</v>
      </c>
      <c r="M693" s="1" t="s">
        <v>1484</v>
      </c>
      <c r="N693" s="1" t="s">
        <v>22</v>
      </c>
      <c r="O693" s="1">
        <v>1</v>
      </c>
      <c r="P693" s="1" t="b">
        <v>1</v>
      </c>
      <c r="R693" s="1">
        <f t="shared" si="51"/>
        <v>0</v>
      </c>
      <c r="T693" s="1">
        <f t="shared" si="47"/>
        <v>0</v>
      </c>
      <c r="U693" s="1">
        <f t="shared" si="48"/>
        <v>0</v>
      </c>
    </row>
    <row r="694" spans="1:21" x14ac:dyDescent="0.25">
      <c r="A694" s="1" t="s">
        <v>1485</v>
      </c>
      <c r="B694" s="1" t="s">
        <v>1481</v>
      </c>
      <c r="C694" s="1" t="s">
        <v>27</v>
      </c>
      <c r="D694" s="2">
        <v>45156</v>
      </c>
      <c r="E694" s="2">
        <v>45224</v>
      </c>
      <c r="F694" s="2">
        <v>45156</v>
      </c>
      <c r="G694" s="2">
        <v>45224</v>
      </c>
      <c r="H694" s="1" t="s">
        <v>20</v>
      </c>
      <c r="I694" s="1">
        <v>100</v>
      </c>
      <c r="J694" s="1">
        <v>52329160</v>
      </c>
      <c r="L694" s="1" t="s">
        <v>1486</v>
      </c>
      <c r="M694" s="1" t="s">
        <v>1486</v>
      </c>
      <c r="N694" s="1" t="s">
        <v>22</v>
      </c>
      <c r="O694" s="1">
        <v>1</v>
      </c>
      <c r="P694" s="1" t="b">
        <v>1</v>
      </c>
      <c r="Q694" s="1" t="s">
        <v>29</v>
      </c>
      <c r="R694" s="1">
        <f t="shared" si="51"/>
        <v>0</v>
      </c>
      <c r="T694" s="1">
        <f t="shared" si="47"/>
        <v>0</v>
      </c>
      <c r="U694" s="1">
        <f t="shared" si="48"/>
        <v>0</v>
      </c>
    </row>
    <row r="695" spans="1:21" x14ac:dyDescent="0.25">
      <c r="A695" s="1" t="s">
        <v>1487</v>
      </c>
      <c r="B695" s="1" t="s">
        <v>1481</v>
      </c>
      <c r="C695" s="1" t="s">
        <v>31</v>
      </c>
      <c r="D695" s="2">
        <v>45224</v>
      </c>
      <c r="E695" s="2">
        <v>45309</v>
      </c>
      <c r="F695" s="2">
        <v>45224</v>
      </c>
      <c r="G695" s="2">
        <v>45309</v>
      </c>
      <c r="H695" s="1" t="s">
        <v>20</v>
      </c>
      <c r="I695" s="1">
        <v>100</v>
      </c>
      <c r="J695" s="1">
        <v>65411450</v>
      </c>
      <c r="L695" s="1" t="s">
        <v>1488</v>
      </c>
      <c r="M695" s="1" t="s">
        <v>1488</v>
      </c>
      <c r="N695" s="1" t="s">
        <v>22</v>
      </c>
      <c r="O695" s="1">
        <v>1</v>
      </c>
      <c r="P695" s="1" t="b">
        <v>1</v>
      </c>
      <c r="R695" s="1">
        <f t="shared" si="51"/>
        <v>0</v>
      </c>
      <c r="T695" s="1">
        <f t="shared" si="47"/>
        <v>0</v>
      </c>
      <c r="U695" s="1">
        <f t="shared" si="48"/>
        <v>0</v>
      </c>
    </row>
    <row r="696" spans="1:21" x14ac:dyDescent="0.25">
      <c r="A696" s="1" t="s">
        <v>1489</v>
      </c>
      <c r="B696" s="1" t="s">
        <v>1481</v>
      </c>
      <c r="C696" s="1" t="s">
        <v>34</v>
      </c>
      <c r="D696" s="2">
        <v>45309</v>
      </c>
      <c r="E696" s="2">
        <v>45451</v>
      </c>
      <c r="F696" s="2">
        <v>45309</v>
      </c>
      <c r="G696" s="2">
        <v>45451</v>
      </c>
      <c r="H696" s="1" t="s">
        <v>20</v>
      </c>
      <c r="I696" s="1">
        <v>100</v>
      </c>
      <c r="J696" s="1">
        <v>109019083</v>
      </c>
      <c r="L696" s="1" t="s">
        <v>1490</v>
      </c>
      <c r="M696" s="1" t="s">
        <v>1490</v>
      </c>
      <c r="N696" s="1" t="s">
        <v>22</v>
      </c>
      <c r="O696" s="1">
        <v>1</v>
      </c>
      <c r="P696" s="1" t="b">
        <v>1</v>
      </c>
      <c r="Q696" s="1" t="s">
        <v>29</v>
      </c>
      <c r="R696" s="1">
        <f t="shared" si="51"/>
        <v>0</v>
      </c>
      <c r="T696" s="1">
        <f t="shared" si="47"/>
        <v>0</v>
      </c>
      <c r="U696" s="1">
        <f t="shared" si="48"/>
        <v>0</v>
      </c>
    </row>
    <row r="697" spans="1:21" x14ac:dyDescent="0.25">
      <c r="A697" s="1" t="s">
        <v>1491</v>
      </c>
      <c r="B697" s="1" t="s">
        <v>1481</v>
      </c>
      <c r="C697" s="1" t="s">
        <v>37</v>
      </c>
      <c r="D697" s="2">
        <v>45451</v>
      </c>
      <c r="E697" s="2">
        <v>45508</v>
      </c>
      <c r="F697" s="2">
        <v>45451</v>
      </c>
      <c r="G697" s="2">
        <v>45508</v>
      </c>
      <c r="H697" s="1" t="s">
        <v>20</v>
      </c>
      <c r="I697" s="1">
        <v>100</v>
      </c>
      <c r="J697" s="1">
        <v>43607633</v>
      </c>
      <c r="L697" s="1" t="s">
        <v>1492</v>
      </c>
      <c r="M697" s="1" t="s">
        <v>1492</v>
      </c>
      <c r="N697" s="1" t="s">
        <v>22</v>
      </c>
      <c r="O697" s="1">
        <v>1</v>
      </c>
      <c r="P697" s="1" t="b">
        <v>1</v>
      </c>
      <c r="R697" s="1">
        <f t="shared" si="51"/>
        <v>0</v>
      </c>
      <c r="T697" s="1">
        <f t="shared" si="47"/>
        <v>0</v>
      </c>
      <c r="U697" s="1">
        <f t="shared" si="48"/>
        <v>0</v>
      </c>
    </row>
    <row r="698" spans="1:21" x14ac:dyDescent="0.25">
      <c r="A698" s="1" t="s">
        <v>1493</v>
      </c>
      <c r="B698" s="1" t="s">
        <v>1481</v>
      </c>
      <c r="C698" s="1" t="s">
        <v>41</v>
      </c>
      <c r="D698" s="2">
        <v>45508</v>
      </c>
      <c r="E698" s="2">
        <v>45553</v>
      </c>
      <c r="F698" s="2">
        <v>45508</v>
      </c>
      <c r="G698" s="2">
        <v>45553</v>
      </c>
      <c r="H698" s="1" t="s">
        <v>20</v>
      </c>
      <c r="I698" s="1">
        <v>100</v>
      </c>
      <c r="J698" s="1">
        <v>34886106</v>
      </c>
      <c r="L698" s="1" t="s">
        <v>1494</v>
      </c>
      <c r="M698" s="1" t="s">
        <v>1494</v>
      </c>
      <c r="N698" s="1" t="s">
        <v>22</v>
      </c>
      <c r="O698" s="1">
        <v>1</v>
      </c>
      <c r="P698" s="1" t="b">
        <v>1</v>
      </c>
      <c r="R698" s="1">
        <f t="shared" si="51"/>
        <v>0</v>
      </c>
      <c r="T698" s="1">
        <f t="shared" si="47"/>
        <v>0</v>
      </c>
      <c r="U698" s="1">
        <f t="shared" si="48"/>
        <v>0</v>
      </c>
    </row>
    <row r="699" spans="1:21" x14ac:dyDescent="0.25">
      <c r="A699" s="1" t="s">
        <v>1495</v>
      </c>
      <c r="B699" s="1" t="s">
        <v>1481</v>
      </c>
      <c r="C699" s="1" t="s">
        <v>45</v>
      </c>
      <c r="D699" s="2">
        <v>45553</v>
      </c>
      <c r="E699" s="2">
        <v>45610</v>
      </c>
      <c r="F699" s="2">
        <v>45553</v>
      </c>
      <c r="G699" s="2">
        <v>45610</v>
      </c>
      <c r="H699" s="1" t="s">
        <v>20</v>
      </c>
      <c r="I699" s="1">
        <v>100</v>
      </c>
      <c r="J699" s="1">
        <v>43607633</v>
      </c>
      <c r="L699" s="1" t="s">
        <v>1496</v>
      </c>
      <c r="M699" s="1" t="s">
        <v>1496</v>
      </c>
      <c r="N699" s="1" t="s">
        <v>22</v>
      </c>
      <c r="O699" s="1">
        <v>1</v>
      </c>
      <c r="P699" s="1" t="b">
        <v>1</v>
      </c>
      <c r="R699" s="1">
        <f t="shared" si="51"/>
        <v>0</v>
      </c>
      <c r="T699" s="1">
        <f t="shared" si="47"/>
        <v>0</v>
      </c>
      <c r="U699" s="1">
        <f t="shared" si="48"/>
        <v>0</v>
      </c>
    </row>
    <row r="700" spans="1:21" x14ac:dyDescent="0.25">
      <c r="A700" s="1" t="s">
        <v>1497</v>
      </c>
      <c r="B700" s="1" t="s">
        <v>1481</v>
      </c>
      <c r="C700" s="1" t="s">
        <v>48</v>
      </c>
      <c r="D700" s="2">
        <v>45610</v>
      </c>
      <c r="E700" s="2">
        <v>45627</v>
      </c>
      <c r="F700" s="2">
        <v>45610</v>
      </c>
      <c r="G700" s="2">
        <v>45627</v>
      </c>
      <c r="H700" s="1" t="s">
        <v>20</v>
      </c>
      <c r="I700" s="1">
        <v>100</v>
      </c>
      <c r="J700" s="1">
        <v>13082290</v>
      </c>
      <c r="L700" s="1" t="s">
        <v>1498</v>
      </c>
      <c r="M700" s="1" t="s">
        <v>1498</v>
      </c>
      <c r="N700" s="1" t="s">
        <v>22</v>
      </c>
      <c r="O700" s="1">
        <v>1</v>
      </c>
      <c r="P700" s="1" t="b">
        <v>1</v>
      </c>
      <c r="R700" s="1">
        <f t="shared" si="51"/>
        <v>0</v>
      </c>
      <c r="T700" s="1">
        <f t="shared" si="47"/>
        <v>0</v>
      </c>
      <c r="U700" s="1">
        <f t="shared" si="48"/>
        <v>0</v>
      </c>
    </row>
    <row r="701" spans="1:21" x14ac:dyDescent="0.25">
      <c r="A701" s="1" t="s">
        <v>1499</v>
      </c>
      <c r="B701" s="1" t="s">
        <v>1481</v>
      </c>
      <c r="C701" s="1" t="s">
        <v>51</v>
      </c>
      <c r="D701" s="2">
        <v>45627</v>
      </c>
      <c r="E701" s="2">
        <v>45638</v>
      </c>
      <c r="F701" s="2">
        <v>45627</v>
      </c>
      <c r="G701" s="2">
        <v>45638</v>
      </c>
      <c r="H701" s="1" t="s">
        <v>20</v>
      </c>
      <c r="I701" s="1">
        <v>100</v>
      </c>
      <c r="J701" s="1">
        <v>8721526</v>
      </c>
      <c r="L701" s="1" t="s">
        <v>1500</v>
      </c>
      <c r="M701" s="1" t="s">
        <v>1500</v>
      </c>
      <c r="N701" s="1" t="s">
        <v>22</v>
      </c>
      <c r="O701" s="1">
        <v>1</v>
      </c>
      <c r="P701" s="1" t="b">
        <v>1</v>
      </c>
      <c r="R701" s="1">
        <f t="shared" si="51"/>
        <v>0</v>
      </c>
      <c r="T701" s="1">
        <f t="shared" si="47"/>
        <v>0</v>
      </c>
      <c r="U701" s="1">
        <f t="shared" si="48"/>
        <v>0</v>
      </c>
    </row>
    <row r="702" spans="1:21" x14ac:dyDescent="0.25">
      <c r="A702" s="1" t="s">
        <v>1501</v>
      </c>
      <c r="B702" s="1" t="s">
        <v>1502</v>
      </c>
      <c r="C702" s="1" t="s">
        <v>19</v>
      </c>
      <c r="D702" s="2">
        <v>45480</v>
      </c>
      <c r="E702" s="2">
        <v>45541</v>
      </c>
      <c r="F702" s="2">
        <v>45480</v>
      </c>
      <c r="G702" s="2">
        <v>45541</v>
      </c>
      <c r="H702" s="1" t="s">
        <v>20</v>
      </c>
      <c r="I702" s="1">
        <v>100</v>
      </c>
      <c r="J702" s="1">
        <v>18546417</v>
      </c>
      <c r="L702" s="1" t="s">
        <v>1503</v>
      </c>
      <c r="M702" s="1" t="s">
        <v>1503</v>
      </c>
      <c r="N702" s="1" t="s">
        <v>22</v>
      </c>
      <c r="O702" s="1">
        <v>1</v>
      </c>
      <c r="P702" s="1" t="b">
        <v>1</v>
      </c>
      <c r="R702" s="1">
        <f t="shared" si="51"/>
        <v>0</v>
      </c>
      <c r="T702" s="1">
        <f t="shared" si="47"/>
        <v>0</v>
      </c>
      <c r="U702" s="1">
        <f t="shared" si="48"/>
        <v>0</v>
      </c>
    </row>
    <row r="703" spans="1:21" x14ac:dyDescent="0.25">
      <c r="A703" s="1" t="s">
        <v>1504</v>
      </c>
      <c r="B703" s="1" t="s">
        <v>1502</v>
      </c>
      <c r="C703" s="1" t="s">
        <v>24</v>
      </c>
      <c r="D703" s="2">
        <v>45541</v>
      </c>
      <c r="E703" s="2">
        <v>45664</v>
      </c>
      <c r="F703" s="2">
        <v>45541</v>
      </c>
      <c r="G703" s="2">
        <v>45664</v>
      </c>
      <c r="H703" s="1" t="s">
        <v>20</v>
      </c>
      <c r="I703" s="1">
        <v>100</v>
      </c>
      <c r="J703" s="1">
        <v>37092835</v>
      </c>
      <c r="L703" s="1" t="s">
        <v>1505</v>
      </c>
      <c r="M703" s="1" t="s">
        <v>1505</v>
      </c>
      <c r="N703" s="1" t="s">
        <v>22</v>
      </c>
      <c r="O703" s="1">
        <v>1</v>
      </c>
      <c r="P703" s="1" t="b">
        <v>1</v>
      </c>
      <c r="R703" s="1">
        <f t="shared" si="51"/>
        <v>0</v>
      </c>
      <c r="T703" s="1">
        <f t="shared" si="47"/>
        <v>0</v>
      </c>
      <c r="U703" s="1">
        <f t="shared" si="48"/>
        <v>0</v>
      </c>
    </row>
    <row r="704" spans="1:21" x14ac:dyDescent="0.25">
      <c r="A704" s="1" t="s">
        <v>1506</v>
      </c>
      <c r="B704" s="1" t="s">
        <v>1502</v>
      </c>
      <c r="C704" s="1" t="s">
        <v>27</v>
      </c>
      <c r="D704" s="2">
        <v>45664</v>
      </c>
      <c r="E704" s="2">
        <v>45811</v>
      </c>
      <c r="F704" s="2">
        <v>45664</v>
      </c>
      <c r="G704" s="2">
        <v>45811</v>
      </c>
      <c r="H704" s="1" t="s">
        <v>20</v>
      </c>
      <c r="I704" s="1">
        <v>100</v>
      </c>
      <c r="J704" s="1">
        <v>44511402</v>
      </c>
      <c r="L704" s="1" t="s">
        <v>1507</v>
      </c>
      <c r="M704" s="1" t="s">
        <v>1507</v>
      </c>
      <c r="N704" s="1" t="s">
        <v>22</v>
      </c>
      <c r="O704" s="1">
        <v>1</v>
      </c>
      <c r="P704" s="1" t="b">
        <v>1</v>
      </c>
      <c r="Q704" s="1" t="s">
        <v>29</v>
      </c>
      <c r="R704" s="1">
        <f t="shared" si="51"/>
        <v>0</v>
      </c>
      <c r="T704" s="1">
        <f t="shared" si="47"/>
        <v>0</v>
      </c>
      <c r="U704" s="1">
        <f t="shared" si="48"/>
        <v>0</v>
      </c>
    </row>
    <row r="705" spans="1:21" x14ac:dyDescent="0.25">
      <c r="A705" s="1" t="s">
        <v>1508</v>
      </c>
      <c r="B705" s="1" t="s">
        <v>1502</v>
      </c>
      <c r="C705" s="1" t="s">
        <v>31</v>
      </c>
      <c r="D705" s="2">
        <v>45811</v>
      </c>
      <c r="E705" s="2">
        <v>45995</v>
      </c>
      <c r="F705" s="2">
        <v>45811</v>
      </c>
      <c r="G705" s="2">
        <v>45995</v>
      </c>
      <c r="H705" s="1" t="s">
        <v>20</v>
      </c>
      <c r="I705" s="1">
        <v>100</v>
      </c>
      <c r="J705" s="1">
        <v>55639253</v>
      </c>
      <c r="L705" s="1" t="s">
        <v>1509</v>
      </c>
      <c r="M705" s="1" t="s">
        <v>1509</v>
      </c>
      <c r="N705" s="1" t="s">
        <v>22</v>
      </c>
      <c r="O705" s="1">
        <v>1</v>
      </c>
      <c r="P705" s="1" t="b">
        <v>1</v>
      </c>
      <c r="R705" s="1">
        <f t="shared" si="51"/>
        <v>0</v>
      </c>
      <c r="T705" s="1">
        <f t="shared" si="47"/>
        <v>0</v>
      </c>
      <c r="U705" s="1">
        <f t="shared" si="48"/>
        <v>0</v>
      </c>
    </row>
    <row r="706" spans="1:21" x14ac:dyDescent="0.25">
      <c r="A706" s="1" t="s">
        <v>1510</v>
      </c>
      <c r="B706" s="1" t="s">
        <v>1502</v>
      </c>
      <c r="C706" s="1" t="s">
        <v>34</v>
      </c>
      <c r="D706" s="2">
        <v>45995</v>
      </c>
      <c r="E706" s="2">
        <v>46302</v>
      </c>
      <c r="F706" s="2">
        <v>45995</v>
      </c>
      <c r="H706" s="1" t="s">
        <v>38</v>
      </c>
      <c r="I706" s="1">
        <v>77</v>
      </c>
      <c r="J706" s="1">
        <v>92732088</v>
      </c>
      <c r="L706" s="1" t="s">
        <v>1511</v>
      </c>
      <c r="M706" s="1" t="s">
        <v>1511</v>
      </c>
      <c r="N706" s="1" t="s">
        <v>22</v>
      </c>
      <c r="O706" s="1">
        <v>1</v>
      </c>
      <c r="P706" s="1" t="b">
        <v>1</v>
      </c>
      <c r="Q706" s="1" t="s">
        <v>29</v>
      </c>
      <c r="S706" s="1">
        <f t="shared" ref="S706:S711" si="52">R$7-E706</f>
        <v>-8</v>
      </c>
      <c r="T706" s="1">
        <f t="shared" si="47"/>
        <v>0</v>
      </c>
      <c r="U706" s="1">
        <f t="shared" si="48"/>
        <v>0</v>
      </c>
    </row>
    <row r="707" spans="1:21" x14ac:dyDescent="0.25">
      <c r="A707" s="1" t="s">
        <v>1512</v>
      </c>
      <c r="B707" s="1" t="s">
        <v>1502</v>
      </c>
      <c r="C707" s="1" t="s">
        <v>37</v>
      </c>
      <c r="D707" s="2">
        <v>46302</v>
      </c>
      <c r="E707" s="2">
        <v>46425</v>
      </c>
      <c r="H707" s="1" t="s">
        <v>42</v>
      </c>
      <c r="I707" s="1">
        <v>0</v>
      </c>
      <c r="J707" s="1">
        <v>37092835</v>
      </c>
      <c r="L707" s="1" t="s">
        <v>1513</v>
      </c>
      <c r="M707" s="1" t="s">
        <v>1513</v>
      </c>
      <c r="N707" s="1" t="s">
        <v>22</v>
      </c>
      <c r="O707" s="1">
        <v>1</v>
      </c>
      <c r="P707" s="1" t="b">
        <v>1</v>
      </c>
      <c r="S707" s="1">
        <f t="shared" si="52"/>
        <v>-131</v>
      </c>
      <c r="T707" s="1">
        <f t="shared" ref="T707:T770" si="53">IF(S707&gt;0,1,0)</f>
        <v>0</v>
      </c>
      <c r="U707" s="1">
        <f t="shared" ref="U707:U770" si="54">IF(S707&gt;0,S707,0)</f>
        <v>0</v>
      </c>
    </row>
    <row r="708" spans="1:21" x14ac:dyDescent="0.25">
      <c r="A708" s="1" t="s">
        <v>1514</v>
      </c>
      <c r="B708" s="1" t="s">
        <v>1502</v>
      </c>
      <c r="C708" s="1" t="s">
        <v>41</v>
      </c>
      <c r="D708" s="2">
        <v>46425</v>
      </c>
      <c r="E708" s="2">
        <v>46523</v>
      </c>
      <c r="H708" s="1" t="s">
        <v>42</v>
      </c>
      <c r="I708" s="1">
        <v>0</v>
      </c>
      <c r="J708" s="1">
        <v>29674268</v>
      </c>
      <c r="L708" s="1" t="s">
        <v>1515</v>
      </c>
      <c r="M708" s="1" t="s">
        <v>1515</v>
      </c>
      <c r="N708" s="1" t="s">
        <v>22</v>
      </c>
      <c r="O708" s="1">
        <v>1</v>
      </c>
      <c r="P708" s="1" t="b">
        <v>1</v>
      </c>
      <c r="S708" s="1">
        <f t="shared" si="52"/>
        <v>-229</v>
      </c>
      <c r="T708" s="1">
        <f t="shared" si="53"/>
        <v>0</v>
      </c>
      <c r="U708" s="1">
        <f t="shared" si="54"/>
        <v>0</v>
      </c>
    </row>
    <row r="709" spans="1:21" x14ac:dyDescent="0.25">
      <c r="A709" s="1" t="s">
        <v>1516</v>
      </c>
      <c r="B709" s="1" t="s">
        <v>1502</v>
      </c>
      <c r="C709" s="1" t="s">
        <v>45</v>
      </c>
      <c r="D709" s="2">
        <v>46523</v>
      </c>
      <c r="E709" s="2">
        <v>46646</v>
      </c>
      <c r="H709" s="1" t="s">
        <v>42</v>
      </c>
      <c r="I709" s="1">
        <v>0</v>
      </c>
      <c r="J709" s="1">
        <v>37092835</v>
      </c>
      <c r="L709" s="1" t="s">
        <v>1517</v>
      </c>
      <c r="M709" s="1" t="s">
        <v>1517</v>
      </c>
      <c r="N709" s="1" t="s">
        <v>22</v>
      </c>
      <c r="O709" s="1">
        <v>1</v>
      </c>
      <c r="P709" s="1" t="b">
        <v>1</v>
      </c>
      <c r="S709" s="1">
        <f t="shared" si="52"/>
        <v>-352</v>
      </c>
      <c r="T709" s="1">
        <f t="shared" si="53"/>
        <v>0</v>
      </c>
      <c r="U709" s="1">
        <f t="shared" si="54"/>
        <v>0</v>
      </c>
    </row>
    <row r="710" spans="1:21" x14ac:dyDescent="0.25">
      <c r="A710" s="1" t="s">
        <v>1518</v>
      </c>
      <c r="B710" s="1" t="s">
        <v>1502</v>
      </c>
      <c r="C710" s="1" t="s">
        <v>48</v>
      </c>
      <c r="D710" s="2">
        <v>46646</v>
      </c>
      <c r="E710" s="2">
        <v>46682</v>
      </c>
      <c r="H710" s="1" t="s">
        <v>42</v>
      </c>
      <c r="I710" s="1">
        <v>0</v>
      </c>
      <c r="J710" s="1">
        <v>11127850</v>
      </c>
      <c r="L710" s="1" t="s">
        <v>1519</v>
      </c>
      <c r="M710" s="1" t="s">
        <v>1519</v>
      </c>
      <c r="N710" s="1" t="s">
        <v>22</v>
      </c>
      <c r="O710" s="1">
        <v>1</v>
      </c>
      <c r="P710" s="1" t="b">
        <v>1</v>
      </c>
      <c r="S710" s="1">
        <f t="shared" si="52"/>
        <v>-388</v>
      </c>
      <c r="T710" s="1">
        <f t="shared" si="53"/>
        <v>0</v>
      </c>
      <c r="U710" s="1">
        <f t="shared" si="54"/>
        <v>0</v>
      </c>
    </row>
    <row r="711" spans="1:21" x14ac:dyDescent="0.25">
      <c r="A711" s="1" t="s">
        <v>1520</v>
      </c>
      <c r="B711" s="1" t="s">
        <v>1502</v>
      </c>
      <c r="C711" s="1" t="s">
        <v>51</v>
      </c>
      <c r="D711" s="2">
        <v>46682</v>
      </c>
      <c r="E711" s="2">
        <v>46706</v>
      </c>
      <c r="H711" s="1" t="s">
        <v>42</v>
      </c>
      <c r="I711" s="1">
        <v>0</v>
      </c>
      <c r="J711" s="1">
        <v>7418567</v>
      </c>
      <c r="L711" s="1" t="s">
        <v>1521</v>
      </c>
      <c r="M711" s="1" t="s">
        <v>1521</v>
      </c>
      <c r="N711" s="1" t="s">
        <v>22</v>
      </c>
      <c r="O711" s="1">
        <v>1</v>
      </c>
      <c r="P711" s="1" t="b">
        <v>1</v>
      </c>
      <c r="S711" s="1">
        <f t="shared" si="52"/>
        <v>-412</v>
      </c>
      <c r="T711" s="1">
        <f t="shared" si="53"/>
        <v>0</v>
      </c>
      <c r="U711" s="1">
        <f t="shared" si="54"/>
        <v>0</v>
      </c>
    </row>
    <row r="712" spans="1:21" x14ac:dyDescent="0.25">
      <c r="A712" s="1" t="s">
        <v>1522</v>
      </c>
      <c r="B712" s="1" t="s">
        <v>1523</v>
      </c>
      <c r="C712" s="1" t="s">
        <v>19</v>
      </c>
      <c r="D712" s="2">
        <v>44341</v>
      </c>
      <c r="E712" s="2">
        <v>44410</v>
      </c>
      <c r="F712" s="2">
        <v>44341</v>
      </c>
      <c r="G712" s="2">
        <v>44410</v>
      </c>
      <c r="H712" s="1" t="s">
        <v>20</v>
      </c>
      <c r="I712" s="1">
        <v>100</v>
      </c>
      <c r="J712" s="1">
        <v>511004</v>
      </c>
      <c r="L712" s="1" t="s">
        <v>1524</v>
      </c>
      <c r="M712" s="1" t="s">
        <v>1524</v>
      </c>
      <c r="N712" s="1" t="s">
        <v>22</v>
      </c>
      <c r="O712" s="1">
        <v>1</v>
      </c>
      <c r="P712" s="1" t="b">
        <v>1</v>
      </c>
      <c r="R712" s="1">
        <f t="shared" ref="R712:R725" si="55">G712-E712</f>
        <v>0</v>
      </c>
      <c r="T712" s="1">
        <f t="shared" si="53"/>
        <v>0</v>
      </c>
      <c r="U712" s="1">
        <f t="shared" si="54"/>
        <v>0</v>
      </c>
    </row>
    <row r="713" spans="1:21" x14ac:dyDescent="0.25">
      <c r="A713" s="1" t="s">
        <v>1525</v>
      </c>
      <c r="B713" s="1" t="s">
        <v>1523</v>
      </c>
      <c r="C713" s="1" t="s">
        <v>24</v>
      </c>
      <c r="D713" s="2">
        <v>44410</v>
      </c>
      <c r="E713" s="2">
        <v>44548</v>
      </c>
      <c r="F713" s="2">
        <v>44410</v>
      </c>
      <c r="G713" s="2">
        <v>44548</v>
      </c>
      <c r="H713" s="1" t="s">
        <v>20</v>
      </c>
      <c r="I713" s="1">
        <v>100</v>
      </c>
      <c r="J713" s="1">
        <v>1022009</v>
      </c>
      <c r="L713" s="1" t="s">
        <v>1526</v>
      </c>
      <c r="M713" s="1" t="s">
        <v>1526</v>
      </c>
      <c r="N713" s="1" t="s">
        <v>22</v>
      </c>
      <c r="O713" s="1">
        <v>1</v>
      </c>
      <c r="P713" s="1" t="b">
        <v>1</v>
      </c>
      <c r="R713" s="1">
        <f t="shared" si="55"/>
        <v>0</v>
      </c>
      <c r="T713" s="1">
        <f t="shared" si="53"/>
        <v>0</v>
      </c>
      <c r="U713" s="1">
        <f t="shared" si="54"/>
        <v>0</v>
      </c>
    </row>
    <row r="714" spans="1:21" x14ac:dyDescent="0.25">
      <c r="A714" s="1" t="s">
        <v>1527</v>
      </c>
      <c r="B714" s="1" t="s">
        <v>1523</v>
      </c>
      <c r="C714" s="1" t="s">
        <v>27</v>
      </c>
      <c r="D714" s="2">
        <v>44548</v>
      </c>
      <c r="E714" s="2">
        <v>44713</v>
      </c>
      <c r="F714" s="2">
        <v>44548</v>
      </c>
      <c r="G714" s="2">
        <v>44713</v>
      </c>
      <c r="H714" s="1" t="s">
        <v>20</v>
      </c>
      <c r="I714" s="1">
        <v>100</v>
      </c>
      <c r="J714" s="1">
        <v>1226411</v>
      </c>
      <c r="L714" s="1" t="s">
        <v>1528</v>
      </c>
      <c r="M714" s="1" t="s">
        <v>1528</v>
      </c>
      <c r="N714" s="1" t="s">
        <v>22</v>
      </c>
      <c r="O714" s="1">
        <v>1</v>
      </c>
      <c r="P714" s="1" t="b">
        <v>1</v>
      </c>
      <c r="Q714" s="1" t="s">
        <v>29</v>
      </c>
      <c r="R714" s="1">
        <f t="shared" si="55"/>
        <v>0</v>
      </c>
      <c r="T714" s="1">
        <f t="shared" si="53"/>
        <v>0</v>
      </c>
      <c r="U714" s="1">
        <f t="shared" si="54"/>
        <v>0</v>
      </c>
    </row>
    <row r="715" spans="1:21" x14ac:dyDescent="0.25">
      <c r="A715" s="1" t="s">
        <v>1529</v>
      </c>
      <c r="B715" s="1" t="s">
        <v>1523</v>
      </c>
      <c r="C715" s="1" t="s">
        <v>31</v>
      </c>
      <c r="D715" s="2">
        <v>44713</v>
      </c>
      <c r="E715" s="2">
        <v>44920</v>
      </c>
      <c r="F715" s="2">
        <v>44713</v>
      </c>
      <c r="G715" s="2">
        <v>44920</v>
      </c>
      <c r="H715" s="1" t="s">
        <v>20</v>
      </c>
      <c r="I715" s="1">
        <v>100</v>
      </c>
      <c r="J715" s="1">
        <v>1533014</v>
      </c>
      <c r="L715" s="1" t="s">
        <v>1530</v>
      </c>
      <c r="M715" s="1" t="s">
        <v>1530</v>
      </c>
      <c r="N715" s="1" t="s">
        <v>22</v>
      </c>
      <c r="O715" s="1">
        <v>1</v>
      </c>
      <c r="P715" s="1" t="b">
        <v>1</v>
      </c>
      <c r="R715" s="1">
        <f t="shared" si="55"/>
        <v>0</v>
      </c>
      <c r="T715" s="1">
        <f t="shared" si="53"/>
        <v>0</v>
      </c>
      <c r="U715" s="1">
        <f t="shared" si="54"/>
        <v>0</v>
      </c>
    </row>
    <row r="716" spans="1:21" x14ac:dyDescent="0.25">
      <c r="A716" s="1" t="s">
        <v>1531</v>
      </c>
      <c r="B716" s="1" t="s">
        <v>1523</v>
      </c>
      <c r="C716" s="1" t="s">
        <v>34</v>
      </c>
      <c r="D716" s="2">
        <v>44920</v>
      </c>
      <c r="E716" s="2">
        <v>45265</v>
      </c>
      <c r="F716" s="2">
        <v>44920</v>
      </c>
      <c r="G716" s="2">
        <v>45265</v>
      </c>
      <c r="H716" s="1" t="s">
        <v>20</v>
      </c>
      <c r="I716" s="1">
        <v>100</v>
      </c>
      <c r="J716" s="1">
        <v>2555024</v>
      </c>
      <c r="L716" s="1" t="s">
        <v>1532</v>
      </c>
      <c r="M716" s="1" t="s">
        <v>1532</v>
      </c>
      <c r="N716" s="1" t="s">
        <v>22</v>
      </c>
      <c r="O716" s="1">
        <v>1</v>
      </c>
      <c r="P716" s="1" t="b">
        <v>1</v>
      </c>
      <c r="Q716" s="1" t="s">
        <v>29</v>
      </c>
      <c r="R716" s="1">
        <f t="shared" si="55"/>
        <v>0</v>
      </c>
      <c r="T716" s="1">
        <f t="shared" si="53"/>
        <v>0</v>
      </c>
      <c r="U716" s="1">
        <f t="shared" si="54"/>
        <v>0</v>
      </c>
    </row>
    <row r="717" spans="1:21" x14ac:dyDescent="0.25">
      <c r="A717" s="1" t="s">
        <v>1533</v>
      </c>
      <c r="B717" s="1" t="s">
        <v>1523</v>
      </c>
      <c r="C717" s="1" t="s">
        <v>37</v>
      </c>
      <c r="D717" s="2">
        <v>45265</v>
      </c>
      <c r="E717" s="2">
        <v>45403</v>
      </c>
      <c r="F717" s="2">
        <v>45265</v>
      </c>
      <c r="G717" s="2">
        <v>45403</v>
      </c>
      <c r="H717" s="1" t="s">
        <v>20</v>
      </c>
      <c r="I717" s="1">
        <v>100</v>
      </c>
      <c r="J717" s="1">
        <v>1022009</v>
      </c>
      <c r="L717" s="1" t="s">
        <v>1534</v>
      </c>
      <c r="M717" s="1" t="s">
        <v>1534</v>
      </c>
      <c r="N717" s="1" t="s">
        <v>22</v>
      </c>
      <c r="O717" s="1">
        <v>1</v>
      </c>
      <c r="P717" s="1" t="b">
        <v>1</v>
      </c>
      <c r="R717" s="1">
        <f t="shared" si="55"/>
        <v>0</v>
      </c>
      <c r="T717" s="1">
        <f t="shared" si="53"/>
        <v>0</v>
      </c>
      <c r="U717" s="1">
        <f t="shared" si="54"/>
        <v>0</v>
      </c>
    </row>
    <row r="718" spans="1:21" x14ac:dyDescent="0.25">
      <c r="A718" s="1" t="s">
        <v>1535</v>
      </c>
      <c r="B718" s="1" t="s">
        <v>1523</v>
      </c>
      <c r="C718" s="1" t="s">
        <v>41</v>
      </c>
      <c r="D718" s="2">
        <v>45403</v>
      </c>
      <c r="E718" s="2">
        <v>45513</v>
      </c>
      <c r="F718" s="2">
        <v>45403</v>
      </c>
      <c r="G718" s="2">
        <v>45513</v>
      </c>
      <c r="H718" s="1" t="s">
        <v>20</v>
      </c>
      <c r="I718" s="1">
        <v>100</v>
      </c>
      <c r="J718" s="1">
        <v>817607</v>
      </c>
      <c r="L718" s="1" t="s">
        <v>1536</v>
      </c>
      <c r="M718" s="1" t="s">
        <v>1536</v>
      </c>
      <c r="N718" s="1" t="s">
        <v>22</v>
      </c>
      <c r="O718" s="1">
        <v>1</v>
      </c>
      <c r="P718" s="1" t="b">
        <v>1</v>
      </c>
      <c r="R718" s="1">
        <f t="shared" si="55"/>
        <v>0</v>
      </c>
      <c r="T718" s="1">
        <f t="shared" si="53"/>
        <v>0</v>
      </c>
      <c r="U718" s="1">
        <f t="shared" si="54"/>
        <v>0</v>
      </c>
    </row>
    <row r="719" spans="1:21" x14ac:dyDescent="0.25">
      <c r="A719" s="1" t="s">
        <v>1537</v>
      </c>
      <c r="B719" s="1" t="s">
        <v>1523</v>
      </c>
      <c r="C719" s="1" t="s">
        <v>45</v>
      </c>
      <c r="D719" s="2">
        <v>45513</v>
      </c>
      <c r="E719" s="2">
        <v>45651</v>
      </c>
      <c r="F719" s="2">
        <v>45513</v>
      </c>
      <c r="G719" s="2">
        <v>45651</v>
      </c>
      <c r="H719" s="1" t="s">
        <v>20</v>
      </c>
      <c r="I719" s="1">
        <v>100</v>
      </c>
      <c r="J719" s="1">
        <v>1022009</v>
      </c>
      <c r="L719" s="1" t="s">
        <v>1538</v>
      </c>
      <c r="M719" s="1" t="s">
        <v>1538</v>
      </c>
      <c r="N719" s="1" t="s">
        <v>22</v>
      </c>
      <c r="O719" s="1">
        <v>1</v>
      </c>
      <c r="P719" s="1" t="b">
        <v>1</v>
      </c>
      <c r="R719" s="1">
        <f t="shared" si="55"/>
        <v>0</v>
      </c>
      <c r="T719" s="1">
        <f t="shared" si="53"/>
        <v>0</v>
      </c>
      <c r="U719" s="1">
        <f t="shared" si="54"/>
        <v>0</v>
      </c>
    </row>
    <row r="720" spans="1:21" x14ac:dyDescent="0.25">
      <c r="A720" s="1" t="s">
        <v>1539</v>
      </c>
      <c r="B720" s="1" t="s">
        <v>1523</v>
      </c>
      <c r="C720" s="1" t="s">
        <v>48</v>
      </c>
      <c r="D720" s="2">
        <v>45651</v>
      </c>
      <c r="E720" s="2">
        <v>45692</v>
      </c>
      <c r="F720" s="2">
        <v>45651</v>
      </c>
      <c r="G720" s="2">
        <v>45692</v>
      </c>
      <c r="H720" s="1" t="s">
        <v>20</v>
      </c>
      <c r="I720" s="1">
        <v>100</v>
      </c>
      <c r="J720" s="1">
        <v>306602</v>
      </c>
      <c r="L720" s="1" t="s">
        <v>1540</v>
      </c>
      <c r="M720" s="1" t="s">
        <v>1540</v>
      </c>
      <c r="N720" s="1" t="s">
        <v>22</v>
      </c>
      <c r="O720" s="1">
        <v>1</v>
      </c>
      <c r="P720" s="1" t="b">
        <v>1</v>
      </c>
      <c r="R720" s="1">
        <f t="shared" si="55"/>
        <v>0</v>
      </c>
      <c r="T720" s="1">
        <f t="shared" si="53"/>
        <v>0</v>
      </c>
      <c r="U720" s="1">
        <f t="shared" si="54"/>
        <v>0</v>
      </c>
    </row>
    <row r="721" spans="1:21" x14ac:dyDescent="0.25">
      <c r="A721" s="1" t="s">
        <v>1541</v>
      </c>
      <c r="B721" s="1" t="s">
        <v>1523</v>
      </c>
      <c r="C721" s="1" t="s">
        <v>51</v>
      </c>
      <c r="D721" s="2">
        <v>45692</v>
      </c>
      <c r="E721" s="2">
        <v>45719</v>
      </c>
      <c r="F721" s="2">
        <v>45692</v>
      </c>
      <c r="G721" s="2">
        <v>45719</v>
      </c>
      <c r="H721" s="1" t="s">
        <v>20</v>
      </c>
      <c r="I721" s="1">
        <v>100</v>
      </c>
      <c r="J721" s="1">
        <v>204401</v>
      </c>
      <c r="L721" s="1" t="s">
        <v>1542</v>
      </c>
      <c r="M721" s="1" t="s">
        <v>1542</v>
      </c>
      <c r="N721" s="1" t="s">
        <v>22</v>
      </c>
      <c r="O721" s="1">
        <v>1</v>
      </c>
      <c r="P721" s="1" t="b">
        <v>1</v>
      </c>
      <c r="R721" s="1">
        <f t="shared" si="55"/>
        <v>0</v>
      </c>
      <c r="T721" s="1">
        <f t="shared" si="53"/>
        <v>0</v>
      </c>
      <c r="U721" s="1">
        <f t="shared" si="54"/>
        <v>0</v>
      </c>
    </row>
    <row r="722" spans="1:21" x14ac:dyDescent="0.25">
      <c r="A722" s="1" t="s">
        <v>1543</v>
      </c>
      <c r="B722" s="1" t="s">
        <v>1544</v>
      </c>
      <c r="C722" s="1" t="s">
        <v>19</v>
      </c>
      <c r="D722" s="2">
        <v>45632</v>
      </c>
      <c r="E722" s="2">
        <v>45683</v>
      </c>
      <c r="F722" s="2">
        <v>45632</v>
      </c>
      <c r="G722" s="2">
        <v>45683</v>
      </c>
      <c r="H722" s="1" t="s">
        <v>20</v>
      </c>
      <c r="I722" s="1">
        <v>100</v>
      </c>
      <c r="J722" s="1">
        <v>6117089</v>
      </c>
      <c r="L722" s="1" t="s">
        <v>1545</v>
      </c>
      <c r="M722" s="1" t="s">
        <v>1545</v>
      </c>
      <c r="N722" s="1" t="s">
        <v>22</v>
      </c>
      <c r="O722" s="1">
        <v>1</v>
      </c>
      <c r="P722" s="1" t="b">
        <v>1</v>
      </c>
      <c r="R722" s="1">
        <f t="shared" si="55"/>
        <v>0</v>
      </c>
      <c r="T722" s="1">
        <f t="shared" si="53"/>
        <v>0</v>
      </c>
      <c r="U722" s="1">
        <f t="shared" si="54"/>
        <v>0</v>
      </c>
    </row>
    <row r="723" spans="1:21" x14ac:dyDescent="0.25">
      <c r="A723" s="1" t="s">
        <v>1546</v>
      </c>
      <c r="B723" s="1" t="s">
        <v>1544</v>
      </c>
      <c r="C723" s="1" t="s">
        <v>24</v>
      </c>
      <c r="D723" s="2">
        <v>45683</v>
      </c>
      <c r="E723" s="2">
        <v>45785</v>
      </c>
      <c r="F723" s="2">
        <v>45683</v>
      </c>
      <c r="G723" s="2">
        <v>45785</v>
      </c>
      <c r="H723" s="1" t="s">
        <v>20</v>
      </c>
      <c r="I723" s="1">
        <v>100</v>
      </c>
      <c r="J723" s="1">
        <v>12234179</v>
      </c>
      <c r="L723" s="1" t="s">
        <v>1547</v>
      </c>
      <c r="M723" s="1" t="s">
        <v>1547</v>
      </c>
      <c r="N723" s="1" t="s">
        <v>22</v>
      </c>
      <c r="O723" s="1">
        <v>1</v>
      </c>
      <c r="P723" s="1" t="b">
        <v>1</v>
      </c>
      <c r="R723" s="1">
        <f t="shared" si="55"/>
        <v>0</v>
      </c>
      <c r="T723" s="1">
        <f t="shared" si="53"/>
        <v>0</v>
      </c>
      <c r="U723" s="1">
        <f t="shared" si="54"/>
        <v>0</v>
      </c>
    </row>
    <row r="724" spans="1:21" x14ac:dyDescent="0.25">
      <c r="A724" s="1" t="s">
        <v>1548</v>
      </c>
      <c r="B724" s="1" t="s">
        <v>1544</v>
      </c>
      <c r="C724" s="1" t="s">
        <v>27</v>
      </c>
      <c r="D724" s="2">
        <v>45785</v>
      </c>
      <c r="E724" s="2">
        <v>45907</v>
      </c>
      <c r="F724" s="2">
        <v>45785</v>
      </c>
      <c r="G724" s="2">
        <v>45907</v>
      </c>
      <c r="H724" s="1" t="s">
        <v>20</v>
      </c>
      <c r="I724" s="1">
        <v>100</v>
      </c>
      <c r="J724" s="1">
        <v>14681015</v>
      </c>
      <c r="L724" s="1" t="s">
        <v>1549</v>
      </c>
      <c r="M724" s="1" t="s">
        <v>1549</v>
      </c>
      <c r="N724" s="1" t="s">
        <v>22</v>
      </c>
      <c r="O724" s="1">
        <v>1</v>
      </c>
      <c r="P724" s="1" t="b">
        <v>1</v>
      </c>
      <c r="Q724" s="1" t="s">
        <v>29</v>
      </c>
      <c r="R724" s="1">
        <f t="shared" si="55"/>
        <v>0</v>
      </c>
      <c r="T724" s="1">
        <f t="shared" si="53"/>
        <v>0</v>
      </c>
      <c r="U724" s="1">
        <f t="shared" si="54"/>
        <v>0</v>
      </c>
    </row>
    <row r="725" spans="1:21" x14ac:dyDescent="0.25">
      <c r="A725" s="1" t="s">
        <v>1550</v>
      </c>
      <c r="B725" s="1" t="s">
        <v>1544</v>
      </c>
      <c r="C725" s="1" t="s">
        <v>31</v>
      </c>
      <c r="D725" s="2">
        <v>45907</v>
      </c>
      <c r="E725" s="2">
        <v>46060</v>
      </c>
      <c r="F725" s="2">
        <v>45907</v>
      </c>
      <c r="G725" s="2">
        <v>46060</v>
      </c>
      <c r="H725" s="1" t="s">
        <v>20</v>
      </c>
      <c r="I725" s="1">
        <v>100</v>
      </c>
      <c r="J725" s="1">
        <v>18351269</v>
      </c>
      <c r="L725" s="1" t="s">
        <v>1551</v>
      </c>
      <c r="M725" s="1" t="s">
        <v>1551</v>
      </c>
      <c r="N725" s="1" t="s">
        <v>22</v>
      </c>
      <c r="O725" s="1">
        <v>1</v>
      </c>
      <c r="P725" s="1" t="b">
        <v>1</v>
      </c>
      <c r="R725" s="1">
        <f t="shared" si="55"/>
        <v>0</v>
      </c>
      <c r="T725" s="1">
        <f t="shared" si="53"/>
        <v>0</v>
      </c>
      <c r="U725" s="1">
        <f t="shared" si="54"/>
        <v>0</v>
      </c>
    </row>
    <row r="726" spans="1:21" x14ac:dyDescent="0.25">
      <c r="A726" s="1" t="s">
        <v>1552</v>
      </c>
      <c r="B726" s="1" t="s">
        <v>1544</v>
      </c>
      <c r="C726" s="1" t="s">
        <v>34</v>
      </c>
      <c r="D726" s="2">
        <v>46060</v>
      </c>
      <c r="E726" s="2">
        <v>46315</v>
      </c>
      <c r="F726" s="2">
        <v>46060</v>
      </c>
      <c r="H726" s="1" t="s">
        <v>38</v>
      </c>
      <c r="I726" s="1">
        <v>82</v>
      </c>
      <c r="J726" s="1">
        <v>30585449</v>
      </c>
      <c r="L726" s="1" t="s">
        <v>1553</v>
      </c>
      <c r="M726" s="1" t="s">
        <v>1553</v>
      </c>
      <c r="N726" s="1" t="s">
        <v>22</v>
      </c>
      <c r="O726" s="1">
        <v>1</v>
      </c>
      <c r="P726" s="1" t="b">
        <v>1</v>
      </c>
      <c r="Q726" s="1" t="s">
        <v>29</v>
      </c>
      <c r="S726" s="1">
        <f t="shared" ref="S726:S731" si="56">R$7-E726</f>
        <v>-21</v>
      </c>
      <c r="T726" s="1">
        <f t="shared" si="53"/>
        <v>0</v>
      </c>
      <c r="U726" s="1">
        <f t="shared" si="54"/>
        <v>0</v>
      </c>
    </row>
    <row r="727" spans="1:21" x14ac:dyDescent="0.25">
      <c r="A727" s="1" t="s">
        <v>1554</v>
      </c>
      <c r="B727" s="1" t="s">
        <v>1544</v>
      </c>
      <c r="C727" s="1" t="s">
        <v>37</v>
      </c>
      <c r="D727" s="2">
        <v>46315</v>
      </c>
      <c r="E727" s="2">
        <v>46417</v>
      </c>
      <c r="H727" s="1" t="s">
        <v>42</v>
      </c>
      <c r="I727" s="1">
        <v>0</v>
      </c>
      <c r="J727" s="1">
        <v>12234179</v>
      </c>
      <c r="L727" s="1" t="s">
        <v>1555</v>
      </c>
      <c r="M727" s="1" t="s">
        <v>1555</v>
      </c>
      <c r="N727" s="1" t="s">
        <v>22</v>
      </c>
      <c r="O727" s="1">
        <v>1</v>
      </c>
      <c r="P727" s="1" t="b">
        <v>1</v>
      </c>
      <c r="S727" s="1">
        <f t="shared" si="56"/>
        <v>-123</v>
      </c>
      <c r="T727" s="1">
        <f t="shared" si="53"/>
        <v>0</v>
      </c>
      <c r="U727" s="1">
        <f t="shared" si="54"/>
        <v>0</v>
      </c>
    </row>
    <row r="728" spans="1:21" x14ac:dyDescent="0.25">
      <c r="A728" s="1" t="s">
        <v>1556</v>
      </c>
      <c r="B728" s="1" t="s">
        <v>1544</v>
      </c>
      <c r="C728" s="1" t="s">
        <v>41</v>
      </c>
      <c r="D728" s="2">
        <v>46417</v>
      </c>
      <c r="E728" s="2">
        <v>46498</v>
      </c>
      <c r="H728" s="1" t="s">
        <v>42</v>
      </c>
      <c r="I728" s="1">
        <v>0</v>
      </c>
      <c r="J728" s="1">
        <v>9787343</v>
      </c>
      <c r="L728" s="1" t="s">
        <v>1557</v>
      </c>
      <c r="M728" s="1" t="s">
        <v>1557</v>
      </c>
      <c r="N728" s="1" t="s">
        <v>22</v>
      </c>
      <c r="O728" s="1">
        <v>1</v>
      </c>
      <c r="P728" s="1" t="b">
        <v>1</v>
      </c>
      <c r="S728" s="1">
        <f t="shared" si="56"/>
        <v>-204</v>
      </c>
      <c r="T728" s="1">
        <f t="shared" si="53"/>
        <v>0</v>
      </c>
      <c r="U728" s="1">
        <f t="shared" si="54"/>
        <v>0</v>
      </c>
    </row>
    <row r="729" spans="1:21" x14ac:dyDescent="0.25">
      <c r="A729" s="1" t="s">
        <v>1558</v>
      </c>
      <c r="B729" s="1" t="s">
        <v>1544</v>
      </c>
      <c r="C729" s="1" t="s">
        <v>45</v>
      </c>
      <c r="D729" s="2">
        <v>46498</v>
      </c>
      <c r="E729" s="2">
        <v>46600</v>
      </c>
      <c r="H729" s="1" t="s">
        <v>42</v>
      </c>
      <c r="I729" s="1">
        <v>0</v>
      </c>
      <c r="J729" s="1">
        <v>12234179</v>
      </c>
      <c r="L729" s="1" t="s">
        <v>1559</v>
      </c>
      <c r="M729" s="1" t="s">
        <v>1559</v>
      </c>
      <c r="N729" s="1" t="s">
        <v>22</v>
      </c>
      <c r="O729" s="1">
        <v>1</v>
      </c>
      <c r="P729" s="1" t="b">
        <v>1</v>
      </c>
      <c r="S729" s="1">
        <f t="shared" si="56"/>
        <v>-306</v>
      </c>
      <c r="T729" s="1">
        <f t="shared" si="53"/>
        <v>0</v>
      </c>
      <c r="U729" s="1">
        <f t="shared" si="54"/>
        <v>0</v>
      </c>
    </row>
    <row r="730" spans="1:21" x14ac:dyDescent="0.25">
      <c r="A730" s="1" t="s">
        <v>1560</v>
      </c>
      <c r="B730" s="1" t="s">
        <v>1544</v>
      </c>
      <c r="C730" s="1" t="s">
        <v>48</v>
      </c>
      <c r="D730" s="2">
        <v>46600</v>
      </c>
      <c r="E730" s="2">
        <v>46630</v>
      </c>
      <c r="H730" s="1" t="s">
        <v>42</v>
      </c>
      <c r="I730" s="1">
        <v>0</v>
      </c>
      <c r="J730" s="1">
        <v>3670253</v>
      </c>
      <c r="L730" s="1" t="s">
        <v>1561</v>
      </c>
      <c r="M730" s="1" t="s">
        <v>1561</v>
      </c>
      <c r="N730" s="1" t="s">
        <v>22</v>
      </c>
      <c r="O730" s="1">
        <v>1</v>
      </c>
      <c r="P730" s="1" t="b">
        <v>1</v>
      </c>
      <c r="S730" s="1">
        <f t="shared" si="56"/>
        <v>-336</v>
      </c>
      <c r="T730" s="1">
        <f t="shared" si="53"/>
        <v>0</v>
      </c>
      <c r="U730" s="1">
        <f t="shared" si="54"/>
        <v>0</v>
      </c>
    </row>
    <row r="731" spans="1:21" x14ac:dyDescent="0.25">
      <c r="A731" s="1" t="s">
        <v>1562</v>
      </c>
      <c r="B731" s="1" t="s">
        <v>1544</v>
      </c>
      <c r="C731" s="1" t="s">
        <v>51</v>
      </c>
      <c r="D731" s="2">
        <v>46630</v>
      </c>
      <c r="E731" s="2">
        <v>46650</v>
      </c>
      <c r="H731" s="1" t="s">
        <v>42</v>
      </c>
      <c r="I731" s="1">
        <v>0</v>
      </c>
      <c r="J731" s="1">
        <v>2446835</v>
      </c>
      <c r="L731" s="1" t="s">
        <v>1563</v>
      </c>
      <c r="M731" s="1" t="s">
        <v>1563</v>
      </c>
      <c r="N731" s="1" t="s">
        <v>22</v>
      </c>
      <c r="O731" s="1">
        <v>1</v>
      </c>
      <c r="P731" s="1" t="b">
        <v>1</v>
      </c>
      <c r="S731" s="1">
        <f t="shared" si="56"/>
        <v>-356</v>
      </c>
      <c r="T731" s="1">
        <f t="shared" si="53"/>
        <v>0</v>
      </c>
      <c r="U731" s="1">
        <f t="shared" si="54"/>
        <v>0</v>
      </c>
    </row>
    <row r="732" spans="1:21" x14ac:dyDescent="0.25">
      <c r="A732" s="1" t="s">
        <v>1564</v>
      </c>
      <c r="B732" s="1" t="s">
        <v>1565</v>
      </c>
      <c r="C732" s="1" t="s">
        <v>19</v>
      </c>
      <c r="D732" s="2">
        <v>45639</v>
      </c>
      <c r="E732" s="2">
        <v>45679</v>
      </c>
      <c r="F732" s="2">
        <v>45639</v>
      </c>
      <c r="G732" s="2">
        <v>45679</v>
      </c>
      <c r="H732" s="1" t="s">
        <v>20</v>
      </c>
      <c r="I732" s="1">
        <v>100</v>
      </c>
      <c r="J732" s="1">
        <v>22700188</v>
      </c>
      <c r="L732" s="1" t="s">
        <v>1566</v>
      </c>
      <c r="M732" s="1" t="s">
        <v>1566</v>
      </c>
      <c r="N732" s="1" t="s">
        <v>22</v>
      </c>
      <c r="O732" s="1">
        <v>1</v>
      </c>
      <c r="P732" s="1" t="b">
        <v>1</v>
      </c>
      <c r="R732" s="1">
        <f>G732-E732</f>
        <v>0</v>
      </c>
      <c r="T732" s="1">
        <f t="shared" si="53"/>
        <v>0</v>
      </c>
      <c r="U732" s="1">
        <f t="shared" si="54"/>
        <v>0</v>
      </c>
    </row>
    <row r="733" spans="1:21" x14ac:dyDescent="0.25">
      <c r="A733" s="1" t="s">
        <v>1567</v>
      </c>
      <c r="B733" s="1" t="s">
        <v>1565</v>
      </c>
      <c r="C733" s="1" t="s">
        <v>24</v>
      </c>
      <c r="D733" s="2">
        <v>45679</v>
      </c>
      <c r="E733" s="2">
        <v>45760</v>
      </c>
      <c r="F733" s="2">
        <v>45679</v>
      </c>
      <c r="G733" s="2">
        <v>45760</v>
      </c>
      <c r="H733" s="1" t="s">
        <v>20</v>
      </c>
      <c r="I733" s="1">
        <v>100</v>
      </c>
      <c r="J733" s="1">
        <v>45400377</v>
      </c>
      <c r="L733" s="1" t="s">
        <v>1568</v>
      </c>
      <c r="M733" s="1" t="s">
        <v>1568</v>
      </c>
      <c r="N733" s="1" t="s">
        <v>22</v>
      </c>
      <c r="O733" s="1">
        <v>1</v>
      </c>
      <c r="P733" s="1" t="b">
        <v>1</v>
      </c>
      <c r="R733" s="1">
        <f>G733-E733</f>
        <v>0</v>
      </c>
      <c r="T733" s="1">
        <f t="shared" si="53"/>
        <v>0</v>
      </c>
      <c r="U733" s="1">
        <f t="shared" si="54"/>
        <v>0</v>
      </c>
    </row>
    <row r="734" spans="1:21" x14ac:dyDescent="0.25">
      <c r="A734" s="1" t="s">
        <v>1569</v>
      </c>
      <c r="B734" s="1" t="s">
        <v>1565</v>
      </c>
      <c r="C734" s="1" t="s">
        <v>27</v>
      </c>
      <c r="D734" s="2">
        <v>45760</v>
      </c>
      <c r="E734" s="2">
        <v>45857</v>
      </c>
      <c r="F734" s="2">
        <v>45760</v>
      </c>
      <c r="G734" s="2">
        <v>45857</v>
      </c>
      <c r="H734" s="1" t="s">
        <v>20</v>
      </c>
      <c r="I734" s="1">
        <v>100</v>
      </c>
      <c r="J734" s="1">
        <v>54480453</v>
      </c>
      <c r="L734" s="1" t="s">
        <v>1570</v>
      </c>
      <c r="M734" s="1" t="s">
        <v>1570</v>
      </c>
      <c r="N734" s="1" t="s">
        <v>22</v>
      </c>
      <c r="O734" s="1">
        <v>1</v>
      </c>
      <c r="P734" s="1" t="b">
        <v>1</v>
      </c>
      <c r="Q734" s="1" t="s">
        <v>29</v>
      </c>
      <c r="R734" s="1">
        <f>G734-E734</f>
        <v>0</v>
      </c>
      <c r="T734" s="1">
        <f t="shared" si="53"/>
        <v>0</v>
      </c>
      <c r="U734" s="1">
        <f t="shared" si="54"/>
        <v>0</v>
      </c>
    </row>
    <row r="735" spans="1:21" x14ac:dyDescent="0.25">
      <c r="A735" s="1" t="s">
        <v>1571</v>
      </c>
      <c r="B735" s="1" t="s">
        <v>1565</v>
      </c>
      <c r="C735" s="1" t="s">
        <v>31</v>
      </c>
      <c r="D735" s="2">
        <v>45857</v>
      </c>
      <c r="E735" s="2">
        <v>45978</v>
      </c>
      <c r="F735" s="2">
        <v>45857</v>
      </c>
      <c r="G735" s="2">
        <v>45978</v>
      </c>
      <c r="H735" s="1" t="s">
        <v>20</v>
      </c>
      <c r="I735" s="1">
        <v>100</v>
      </c>
      <c r="J735" s="1">
        <v>68100566</v>
      </c>
      <c r="L735" s="1" t="s">
        <v>1572</v>
      </c>
      <c r="M735" s="1" t="s">
        <v>1572</v>
      </c>
      <c r="N735" s="1" t="s">
        <v>22</v>
      </c>
      <c r="O735" s="1">
        <v>1</v>
      </c>
      <c r="P735" s="1" t="b">
        <v>1</v>
      </c>
      <c r="R735" s="1">
        <f>G735-E735</f>
        <v>0</v>
      </c>
      <c r="T735" s="1">
        <f t="shared" si="53"/>
        <v>0</v>
      </c>
      <c r="U735" s="1">
        <f t="shared" si="54"/>
        <v>0</v>
      </c>
    </row>
    <row r="736" spans="1:21" x14ac:dyDescent="0.25">
      <c r="A736" s="1" t="s">
        <v>1573</v>
      </c>
      <c r="B736" s="1" t="s">
        <v>1565</v>
      </c>
      <c r="C736" s="1" t="s">
        <v>34</v>
      </c>
      <c r="D736" s="2">
        <v>45978</v>
      </c>
      <c r="E736" s="2">
        <v>46180</v>
      </c>
      <c r="F736" s="2">
        <v>45978</v>
      </c>
      <c r="H736" s="1" t="s">
        <v>38</v>
      </c>
      <c r="I736" s="1">
        <v>66</v>
      </c>
      <c r="J736" s="1">
        <v>113500944</v>
      </c>
      <c r="L736" s="1" t="s">
        <v>1574</v>
      </c>
      <c r="M736" s="1" t="s">
        <v>1574</v>
      </c>
      <c r="N736" s="1" t="s">
        <v>22</v>
      </c>
      <c r="O736" s="1">
        <v>1</v>
      </c>
      <c r="P736" s="1" t="b">
        <v>1</v>
      </c>
      <c r="Q736" s="1" t="s">
        <v>29</v>
      </c>
      <c r="S736" s="1">
        <f t="shared" ref="S736:S741" si="57">R$7-E736</f>
        <v>114</v>
      </c>
      <c r="T736" s="1">
        <f t="shared" si="53"/>
        <v>1</v>
      </c>
      <c r="U736" s="1">
        <f t="shared" si="54"/>
        <v>114</v>
      </c>
    </row>
    <row r="737" spans="1:21" x14ac:dyDescent="0.25">
      <c r="A737" s="1" t="s">
        <v>1575</v>
      </c>
      <c r="B737" s="1" t="s">
        <v>1565</v>
      </c>
      <c r="C737" s="1" t="s">
        <v>37</v>
      </c>
      <c r="D737" s="2">
        <v>46180</v>
      </c>
      <c r="E737" s="2">
        <v>46261</v>
      </c>
      <c r="H737" s="1" t="s">
        <v>42</v>
      </c>
      <c r="I737" s="1">
        <v>0</v>
      </c>
      <c r="J737" s="1">
        <v>45400377</v>
      </c>
      <c r="L737" s="1" t="s">
        <v>1576</v>
      </c>
      <c r="M737" s="1" t="s">
        <v>1576</v>
      </c>
      <c r="N737" s="1" t="s">
        <v>22</v>
      </c>
      <c r="O737" s="1">
        <v>1</v>
      </c>
      <c r="P737" s="1" t="b">
        <v>1</v>
      </c>
      <c r="S737" s="1">
        <f t="shared" si="57"/>
        <v>33</v>
      </c>
      <c r="T737" s="1">
        <f t="shared" si="53"/>
        <v>1</v>
      </c>
      <c r="U737" s="1">
        <f t="shared" si="54"/>
        <v>33</v>
      </c>
    </row>
    <row r="738" spans="1:21" x14ac:dyDescent="0.25">
      <c r="A738" s="1" t="s">
        <v>1577</v>
      </c>
      <c r="B738" s="1" t="s">
        <v>1565</v>
      </c>
      <c r="C738" s="1" t="s">
        <v>41</v>
      </c>
      <c r="D738" s="2">
        <v>46261</v>
      </c>
      <c r="E738" s="2">
        <v>46325</v>
      </c>
      <c r="H738" s="1" t="s">
        <v>42</v>
      </c>
      <c r="I738" s="1">
        <v>0</v>
      </c>
      <c r="J738" s="1">
        <v>36320302</v>
      </c>
      <c r="L738" s="1" t="s">
        <v>1578</v>
      </c>
      <c r="M738" s="1" t="s">
        <v>1578</v>
      </c>
      <c r="N738" s="1" t="s">
        <v>22</v>
      </c>
      <c r="O738" s="1">
        <v>1</v>
      </c>
      <c r="P738" s="1" t="b">
        <v>1</v>
      </c>
      <c r="S738" s="1">
        <f t="shared" si="57"/>
        <v>-31</v>
      </c>
      <c r="T738" s="1">
        <f t="shared" si="53"/>
        <v>0</v>
      </c>
      <c r="U738" s="1">
        <f t="shared" si="54"/>
        <v>0</v>
      </c>
    </row>
    <row r="739" spans="1:21" x14ac:dyDescent="0.25">
      <c r="A739" s="1" t="s">
        <v>1579</v>
      </c>
      <c r="B739" s="1" t="s">
        <v>1565</v>
      </c>
      <c r="C739" s="1" t="s">
        <v>45</v>
      </c>
      <c r="D739" s="2">
        <v>46325</v>
      </c>
      <c r="E739" s="2">
        <v>46406</v>
      </c>
      <c r="H739" s="1" t="s">
        <v>42</v>
      </c>
      <c r="I739" s="1">
        <v>0</v>
      </c>
      <c r="J739" s="1">
        <v>45400377</v>
      </c>
      <c r="L739" s="1" t="s">
        <v>1580</v>
      </c>
      <c r="M739" s="1" t="s">
        <v>1580</v>
      </c>
      <c r="N739" s="1" t="s">
        <v>22</v>
      </c>
      <c r="O739" s="1">
        <v>1</v>
      </c>
      <c r="P739" s="1" t="b">
        <v>1</v>
      </c>
      <c r="S739" s="1">
        <f t="shared" si="57"/>
        <v>-112</v>
      </c>
      <c r="T739" s="1">
        <f t="shared" si="53"/>
        <v>0</v>
      </c>
      <c r="U739" s="1">
        <f t="shared" si="54"/>
        <v>0</v>
      </c>
    </row>
    <row r="740" spans="1:21" x14ac:dyDescent="0.25">
      <c r="A740" s="1" t="s">
        <v>1581</v>
      </c>
      <c r="B740" s="1" t="s">
        <v>1565</v>
      </c>
      <c r="C740" s="1" t="s">
        <v>48</v>
      </c>
      <c r="D740" s="2">
        <v>46406</v>
      </c>
      <c r="E740" s="2">
        <v>46430</v>
      </c>
      <c r="H740" s="1" t="s">
        <v>42</v>
      </c>
      <c r="I740" s="1">
        <v>0</v>
      </c>
      <c r="J740" s="1">
        <v>13620113</v>
      </c>
      <c r="L740" s="1" t="s">
        <v>1582</v>
      </c>
      <c r="M740" s="1" t="s">
        <v>1582</v>
      </c>
      <c r="N740" s="1" t="s">
        <v>22</v>
      </c>
      <c r="O740" s="1">
        <v>1</v>
      </c>
      <c r="P740" s="1" t="b">
        <v>1</v>
      </c>
      <c r="S740" s="1">
        <f t="shared" si="57"/>
        <v>-136</v>
      </c>
      <c r="T740" s="1">
        <f t="shared" si="53"/>
        <v>0</v>
      </c>
      <c r="U740" s="1">
        <f t="shared" si="54"/>
        <v>0</v>
      </c>
    </row>
    <row r="741" spans="1:21" x14ac:dyDescent="0.25">
      <c r="A741" s="1" t="s">
        <v>1583</v>
      </c>
      <c r="B741" s="1" t="s">
        <v>1565</v>
      </c>
      <c r="C741" s="1" t="s">
        <v>51</v>
      </c>
      <c r="D741" s="2">
        <v>46430</v>
      </c>
      <c r="E741" s="2">
        <v>46446</v>
      </c>
      <c r="H741" s="1" t="s">
        <v>42</v>
      </c>
      <c r="I741" s="1">
        <v>0</v>
      </c>
      <c r="J741" s="1">
        <v>9080075</v>
      </c>
      <c r="L741" s="1" t="s">
        <v>1584</v>
      </c>
      <c r="M741" s="1" t="s">
        <v>1584</v>
      </c>
      <c r="N741" s="1" t="s">
        <v>22</v>
      </c>
      <c r="O741" s="1">
        <v>1</v>
      </c>
      <c r="P741" s="1" t="b">
        <v>1</v>
      </c>
      <c r="S741" s="1">
        <f t="shared" si="57"/>
        <v>-152</v>
      </c>
      <c r="T741" s="1">
        <f t="shared" si="53"/>
        <v>0</v>
      </c>
      <c r="U741" s="1">
        <f t="shared" si="54"/>
        <v>0</v>
      </c>
    </row>
    <row r="742" spans="1:21" x14ac:dyDescent="0.25">
      <c r="A742" s="1" t="s">
        <v>1585</v>
      </c>
      <c r="B742" s="1" t="s">
        <v>1586</v>
      </c>
      <c r="C742" s="1" t="s">
        <v>19</v>
      </c>
      <c r="D742" s="2">
        <v>43963</v>
      </c>
      <c r="E742" s="2">
        <v>44027</v>
      </c>
      <c r="F742" s="2">
        <v>43963</v>
      </c>
      <c r="G742" s="2">
        <v>44027</v>
      </c>
      <c r="H742" s="1" t="s">
        <v>20</v>
      </c>
      <c r="I742" s="1">
        <v>100</v>
      </c>
      <c r="J742" s="1">
        <v>24358757</v>
      </c>
      <c r="L742" s="1" t="s">
        <v>1587</v>
      </c>
      <c r="M742" s="1" t="s">
        <v>1587</v>
      </c>
      <c r="N742" s="1" t="s">
        <v>22</v>
      </c>
      <c r="O742" s="1">
        <v>1</v>
      </c>
      <c r="P742" s="1" t="b">
        <v>1</v>
      </c>
      <c r="R742" s="1">
        <f t="shared" ref="R742:R773" si="58">G742-E742</f>
        <v>0</v>
      </c>
      <c r="T742" s="1">
        <f t="shared" si="53"/>
        <v>0</v>
      </c>
      <c r="U742" s="1">
        <f t="shared" si="54"/>
        <v>0</v>
      </c>
    </row>
    <row r="743" spans="1:21" x14ac:dyDescent="0.25">
      <c r="A743" s="1" t="s">
        <v>1588</v>
      </c>
      <c r="B743" s="1" t="s">
        <v>1586</v>
      </c>
      <c r="C743" s="1" t="s">
        <v>24</v>
      </c>
      <c r="D743" s="2">
        <v>44027</v>
      </c>
      <c r="E743" s="2">
        <v>44156</v>
      </c>
      <c r="F743" s="2">
        <v>44027</v>
      </c>
      <c r="G743" s="2">
        <v>44156</v>
      </c>
      <c r="H743" s="1" t="s">
        <v>20</v>
      </c>
      <c r="I743" s="1">
        <v>100</v>
      </c>
      <c r="J743" s="1">
        <v>48717514</v>
      </c>
      <c r="L743" s="1" t="s">
        <v>1589</v>
      </c>
      <c r="M743" s="1" t="s">
        <v>1589</v>
      </c>
      <c r="N743" s="1" t="s">
        <v>22</v>
      </c>
      <c r="O743" s="1">
        <v>1</v>
      </c>
      <c r="P743" s="1" t="b">
        <v>1</v>
      </c>
      <c r="R743" s="1">
        <f t="shared" si="58"/>
        <v>0</v>
      </c>
      <c r="T743" s="1">
        <f t="shared" si="53"/>
        <v>0</v>
      </c>
      <c r="U743" s="1">
        <f t="shared" si="54"/>
        <v>0</v>
      </c>
    </row>
    <row r="744" spans="1:21" x14ac:dyDescent="0.25">
      <c r="A744" s="1" t="s">
        <v>1590</v>
      </c>
      <c r="B744" s="1" t="s">
        <v>1586</v>
      </c>
      <c r="C744" s="1" t="s">
        <v>27</v>
      </c>
      <c r="D744" s="2">
        <v>44156</v>
      </c>
      <c r="E744" s="2">
        <v>44310</v>
      </c>
      <c r="F744" s="2">
        <v>44156</v>
      </c>
      <c r="G744" s="2">
        <v>44310</v>
      </c>
      <c r="H744" s="1" t="s">
        <v>20</v>
      </c>
      <c r="I744" s="1">
        <v>100</v>
      </c>
      <c r="J744" s="1">
        <v>58461017</v>
      </c>
      <c r="L744" s="1" t="s">
        <v>1591</v>
      </c>
      <c r="M744" s="1" t="s">
        <v>1591</v>
      </c>
      <c r="N744" s="1" t="s">
        <v>22</v>
      </c>
      <c r="O744" s="1">
        <v>1</v>
      </c>
      <c r="P744" s="1" t="b">
        <v>1</v>
      </c>
      <c r="Q744" s="1" t="s">
        <v>29</v>
      </c>
      <c r="R744" s="1">
        <f t="shared" si="58"/>
        <v>0</v>
      </c>
      <c r="T744" s="1">
        <f t="shared" si="53"/>
        <v>0</v>
      </c>
      <c r="U744" s="1">
        <f t="shared" si="54"/>
        <v>0</v>
      </c>
    </row>
    <row r="745" spans="1:21" x14ac:dyDescent="0.25">
      <c r="A745" s="1" t="s">
        <v>1592</v>
      </c>
      <c r="B745" s="1" t="s">
        <v>1586</v>
      </c>
      <c r="C745" s="1" t="s">
        <v>31</v>
      </c>
      <c r="D745" s="2">
        <v>44310</v>
      </c>
      <c r="E745" s="2">
        <v>44503</v>
      </c>
      <c r="F745" s="2">
        <v>44310</v>
      </c>
      <c r="G745" s="2">
        <v>44503</v>
      </c>
      <c r="H745" s="1" t="s">
        <v>20</v>
      </c>
      <c r="I745" s="1">
        <v>100</v>
      </c>
      <c r="J745" s="1">
        <v>73076271</v>
      </c>
      <c r="L745" s="1" t="s">
        <v>1593</v>
      </c>
      <c r="M745" s="1" t="s">
        <v>1593</v>
      </c>
      <c r="N745" s="1" t="s">
        <v>22</v>
      </c>
      <c r="O745" s="1">
        <v>1</v>
      </c>
      <c r="P745" s="1" t="b">
        <v>1</v>
      </c>
      <c r="R745" s="1">
        <f t="shared" si="58"/>
        <v>0</v>
      </c>
      <c r="T745" s="1">
        <f t="shared" si="53"/>
        <v>0</v>
      </c>
      <c r="U745" s="1">
        <f t="shared" si="54"/>
        <v>0</v>
      </c>
    </row>
    <row r="746" spans="1:21" x14ac:dyDescent="0.25">
      <c r="A746" s="1" t="s">
        <v>1594</v>
      </c>
      <c r="B746" s="1" t="s">
        <v>1586</v>
      </c>
      <c r="C746" s="1" t="s">
        <v>34</v>
      </c>
      <c r="D746" s="2">
        <v>44503</v>
      </c>
      <c r="E746" s="2">
        <v>44825</v>
      </c>
      <c r="F746" s="2">
        <v>44503</v>
      </c>
      <c r="G746" s="2">
        <v>44825</v>
      </c>
      <c r="H746" s="1" t="s">
        <v>20</v>
      </c>
      <c r="I746" s="1">
        <v>100</v>
      </c>
      <c r="J746" s="1">
        <v>121793786</v>
      </c>
      <c r="L746" s="1" t="s">
        <v>1595</v>
      </c>
      <c r="M746" s="1" t="s">
        <v>1595</v>
      </c>
      <c r="N746" s="1" t="s">
        <v>22</v>
      </c>
      <c r="O746" s="1">
        <v>1</v>
      </c>
      <c r="P746" s="1" t="b">
        <v>1</v>
      </c>
      <c r="Q746" s="1" t="s">
        <v>29</v>
      </c>
      <c r="R746" s="1">
        <f t="shared" si="58"/>
        <v>0</v>
      </c>
      <c r="T746" s="1">
        <f t="shared" si="53"/>
        <v>0</v>
      </c>
      <c r="U746" s="1">
        <f t="shared" si="54"/>
        <v>0</v>
      </c>
    </row>
    <row r="747" spans="1:21" x14ac:dyDescent="0.25">
      <c r="A747" s="1" t="s">
        <v>1596</v>
      </c>
      <c r="B747" s="1" t="s">
        <v>1586</v>
      </c>
      <c r="C747" s="1" t="s">
        <v>37</v>
      </c>
      <c r="D747" s="2">
        <v>44825</v>
      </c>
      <c r="E747" s="2">
        <v>44954</v>
      </c>
      <c r="F747" s="2">
        <v>44825</v>
      </c>
      <c r="G747" s="2">
        <v>44954</v>
      </c>
      <c r="H747" s="1" t="s">
        <v>20</v>
      </c>
      <c r="I747" s="1">
        <v>100</v>
      </c>
      <c r="J747" s="1">
        <v>48717514</v>
      </c>
      <c r="L747" s="1" t="s">
        <v>1597</v>
      </c>
      <c r="M747" s="1" t="s">
        <v>1597</v>
      </c>
      <c r="N747" s="1" t="s">
        <v>22</v>
      </c>
      <c r="O747" s="1">
        <v>1</v>
      </c>
      <c r="P747" s="1" t="b">
        <v>1</v>
      </c>
      <c r="R747" s="1">
        <f t="shared" si="58"/>
        <v>0</v>
      </c>
      <c r="T747" s="1">
        <f t="shared" si="53"/>
        <v>0</v>
      </c>
      <c r="U747" s="1">
        <f t="shared" si="54"/>
        <v>0</v>
      </c>
    </row>
    <row r="748" spans="1:21" x14ac:dyDescent="0.25">
      <c r="A748" s="1" t="s">
        <v>1598</v>
      </c>
      <c r="B748" s="1" t="s">
        <v>1586</v>
      </c>
      <c r="C748" s="1" t="s">
        <v>41</v>
      </c>
      <c r="D748" s="2">
        <v>44954</v>
      </c>
      <c r="E748" s="2">
        <v>45057</v>
      </c>
      <c r="F748" s="2">
        <v>44954</v>
      </c>
      <c r="G748" s="2">
        <v>45057</v>
      </c>
      <c r="H748" s="1" t="s">
        <v>20</v>
      </c>
      <c r="I748" s="1">
        <v>100</v>
      </c>
      <c r="J748" s="1">
        <v>38974011</v>
      </c>
      <c r="L748" s="1" t="s">
        <v>1599</v>
      </c>
      <c r="M748" s="1" t="s">
        <v>1599</v>
      </c>
      <c r="N748" s="1" t="s">
        <v>22</v>
      </c>
      <c r="O748" s="1">
        <v>1</v>
      </c>
      <c r="P748" s="1" t="b">
        <v>1</v>
      </c>
      <c r="R748" s="1">
        <f t="shared" si="58"/>
        <v>0</v>
      </c>
      <c r="T748" s="1">
        <f t="shared" si="53"/>
        <v>0</v>
      </c>
      <c r="U748" s="1">
        <f t="shared" si="54"/>
        <v>0</v>
      </c>
    </row>
    <row r="749" spans="1:21" x14ac:dyDescent="0.25">
      <c r="A749" s="1" t="s">
        <v>1600</v>
      </c>
      <c r="B749" s="1" t="s">
        <v>1586</v>
      </c>
      <c r="C749" s="1" t="s">
        <v>45</v>
      </c>
      <c r="D749" s="2">
        <v>45057</v>
      </c>
      <c r="E749" s="2">
        <v>45186</v>
      </c>
      <c r="F749" s="2">
        <v>45057</v>
      </c>
      <c r="G749" s="2">
        <v>45186</v>
      </c>
      <c r="H749" s="1" t="s">
        <v>20</v>
      </c>
      <c r="I749" s="1">
        <v>100</v>
      </c>
      <c r="J749" s="1">
        <v>48717514</v>
      </c>
      <c r="L749" s="1" t="s">
        <v>1601</v>
      </c>
      <c r="M749" s="1" t="s">
        <v>1601</v>
      </c>
      <c r="N749" s="1" t="s">
        <v>22</v>
      </c>
      <c r="O749" s="1">
        <v>1</v>
      </c>
      <c r="P749" s="1" t="b">
        <v>1</v>
      </c>
      <c r="R749" s="1">
        <f t="shared" si="58"/>
        <v>0</v>
      </c>
      <c r="T749" s="1">
        <f t="shared" si="53"/>
        <v>0</v>
      </c>
      <c r="U749" s="1">
        <f t="shared" si="54"/>
        <v>0</v>
      </c>
    </row>
    <row r="750" spans="1:21" x14ac:dyDescent="0.25">
      <c r="A750" s="1" t="s">
        <v>1602</v>
      </c>
      <c r="B750" s="1" t="s">
        <v>1586</v>
      </c>
      <c r="C750" s="1" t="s">
        <v>48</v>
      </c>
      <c r="D750" s="2">
        <v>45186</v>
      </c>
      <c r="E750" s="2">
        <v>45224</v>
      </c>
      <c r="F750" s="2">
        <v>45186</v>
      </c>
      <c r="G750" s="2">
        <v>45224</v>
      </c>
      <c r="H750" s="1" t="s">
        <v>20</v>
      </c>
      <c r="I750" s="1">
        <v>100</v>
      </c>
      <c r="J750" s="1">
        <v>14615254</v>
      </c>
      <c r="L750" s="1" t="s">
        <v>1603</v>
      </c>
      <c r="M750" s="1" t="s">
        <v>1603</v>
      </c>
      <c r="N750" s="1" t="s">
        <v>22</v>
      </c>
      <c r="O750" s="1">
        <v>1</v>
      </c>
      <c r="P750" s="1" t="b">
        <v>1</v>
      </c>
      <c r="R750" s="1">
        <f t="shared" si="58"/>
        <v>0</v>
      </c>
      <c r="T750" s="1">
        <f t="shared" si="53"/>
        <v>0</v>
      </c>
      <c r="U750" s="1">
        <f t="shared" si="54"/>
        <v>0</v>
      </c>
    </row>
    <row r="751" spans="1:21" x14ac:dyDescent="0.25">
      <c r="A751" s="1" t="s">
        <v>1604</v>
      </c>
      <c r="B751" s="1" t="s">
        <v>1586</v>
      </c>
      <c r="C751" s="1" t="s">
        <v>51</v>
      </c>
      <c r="D751" s="2">
        <v>45224</v>
      </c>
      <c r="E751" s="2">
        <v>45249</v>
      </c>
      <c r="F751" s="2">
        <v>45224</v>
      </c>
      <c r="G751" s="2">
        <v>45249</v>
      </c>
      <c r="H751" s="1" t="s">
        <v>20</v>
      </c>
      <c r="I751" s="1">
        <v>100</v>
      </c>
      <c r="J751" s="1">
        <v>9743502</v>
      </c>
      <c r="L751" s="1" t="s">
        <v>1605</v>
      </c>
      <c r="M751" s="1" t="s">
        <v>1605</v>
      </c>
      <c r="N751" s="1" t="s">
        <v>22</v>
      </c>
      <c r="O751" s="1">
        <v>1</v>
      </c>
      <c r="P751" s="1" t="b">
        <v>1</v>
      </c>
      <c r="R751" s="1">
        <f t="shared" si="58"/>
        <v>0</v>
      </c>
      <c r="T751" s="1">
        <f t="shared" si="53"/>
        <v>0</v>
      </c>
      <c r="U751" s="1">
        <f t="shared" si="54"/>
        <v>0</v>
      </c>
    </row>
    <row r="752" spans="1:21" x14ac:dyDescent="0.25">
      <c r="A752" s="1" t="s">
        <v>1606</v>
      </c>
      <c r="B752" s="1" t="s">
        <v>1607</v>
      </c>
      <c r="C752" s="1" t="s">
        <v>19</v>
      </c>
      <c r="D752" s="2">
        <v>44598</v>
      </c>
      <c r="E752" s="2">
        <v>44656</v>
      </c>
      <c r="F752" s="2">
        <v>44598</v>
      </c>
      <c r="G752" s="2">
        <v>44656</v>
      </c>
      <c r="H752" s="1" t="s">
        <v>20</v>
      </c>
      <c r="I752" s="1">
        <v>100</v>
      </c>
      <c r="J752" s="1">
        <v>13089806</v>
      </c>
      <c r="L752" s="1" t="s">
        <v>1608</v>
      </c>
      <c r="M752" s="1" t="s">
        <v>1608</v>
      </c>
      <c r="N752" s="1" t="s">
        <v>22</v>
      </c>
      <c r="O752" s="1">
        <v>1</v>
      </c>
      <c r="P752" s="1" t="b">
        <v>1</v>
      </c>
      <c r="R752" s="1">
        <f t="shared" si="58"/>
        <v>0</v>
      </c>
      <c r="T752" s="1">
        <f t="shared" si="53"/>
        <v>0</v>
      </c>
      <c r="U752" s="1">
        <f t="shared" si="54"/>
        <v>0</v>
      </c>
    </row>
    <row r="753" spans="1:21" x14ac:dyDescent="0.25">
      <c r="A753" s="1" t="s">
        <v>1609</v>
      </c>
      <c r="B753" s="1" t="s">
        <v>1607</v>
      </c>
      <c r="C753" s="1" t="s">
        <v>24</v>
      </c>
      <c r="D753" s="2">
        <v>44656</v>
      </c>
      <c r="E753" s="2">
        <v>44773</v>
      </c>
      <c r="F753" s="2">
        <v>44656</v>
      </c>
      <c r="G753" s="2">
        <v>44773</v>
      </c>
      <c r="H753" s="1" t="s">
        <v>20</v>
      </c>
      <c r="I753" s="1">
        <v>100</v>
      </c>
      <c r="J753" s="1">
        <v>26179613</v>
      </c>
      <c r="L753" s="1" t="s">
        <v>1610</v>
      </c>
      <c r="M753" s="1" t="s">
        <v>1610</v>
      </c>
      <c r="N753" s="1" t="s">
        <v>22</v>
      </c>
      <c r="O753" s="1">
        <v>1</v>
      </c>
      <c r="P753" s="1" t="b">
        <v>1</v>
      </c>
      <c r="R753" s="1">
        <f t="shared" si="58"/>
        <v>0</v>
      </c>
      <c r="T753" s="1">
        <f t="shared" si="53"/>
        <v>0</v>
      </c>
      <c r="U753" s="1">
        <f t="shared" si="54"/>
        <v>0</v>
      </c>
    </row>
    <row r="754" spans="1:21" x14ac:dyDescent="0.25">
      <c r="A754" s="1" t="s">
        <v>1611</v>
      </c>
      <c r="B754" s="1" t="s">
        <v>1607</v>
      </c>
      <c r="C754" s="1" t="s">
        <v>27</v>
      </c>
      <c r="D754" s="2">
        <v>44773</v>
      </c>
      <c r="E754" s="2">
        <v>44913</v>
      </c>
      <c r="F754" s="2">
        <v>44773</v>
      </c>
      <c r="G754" s="2">
        <v>44913</v>
      </c>
      <c r="H754" s="1" t="s">
        <v>20</v>
      </c>
      <c r="I754" s="1">
        <v>100</v>
      </c>
      <c r="J754" s="1">
        <v>31415536</v>
      </c>
      <c r="L754" s="1" t="s">
        <v>1612</v>
      </c>
      <c r="M754" s="1" t="s">
        <v>1612</v>
      </c>
      <c r="N754" s="1" t="s">
        <v>22</v>
      </c>
      <c r="O754" s="1">
        <v>1</v>
      </c>
      <c r="P754" s="1" t="b">
        <v>1</v>
      </c>
      <c r="Q754" s="1" t="s">
        <v>29</v>
      </c>
      <c r="R754" s="1">
        <f t="shared" si="58"/>
        <v>0</v>
      </c>
      <c r="T754" s="1">
        <f t="shared" si="53"/>
        <v>0</v>
      </c>
      <c r="U754" s="1">
        <f t="shared" si="54"/>
        <v>0</v>
      </c>
    </row>
    <row r="755" spans="1:21" x14ac:dyDescent="0.25">
      <c r="A755" s="1" t="s">
        <v>1613</v>
      </c>
      <c r="B755" s="1" t="s">
        <v>1607</v>
      </c>
      <c r="C755" s="1" t="s">
        <v>31</v>
      </c>
      <c r="D755" s="2">
        <v>44913</v>
      </c>
      <c r="E755" s="2">
        <v>45088</v>
      </c>
      <c r="F755" s="2">
        <v>44913</v>
      </c>
      <c r="G755" s="2">
        <v>45088</v>
      </c>
      <c r="H755" s="1" t="s">
        <v>20</v>
      </c>
      <c r="I755" s="1">
        <v>100</v>
      </c>
      <c r="J755" s="1">
        <v>39269420</v>
      </c>
      <c r="L755" s="1" t="s">
        <v>1614</v>
      </c>
      <c r="M755" s="1" t="s">
        <v>1614</v>
      </c>
      <c r="N755" s="1" t="s">
        <v>22</v>
      </c>
      <c r="O755" s="1">
        <v>1</v>
      </c>
      <c r="P755" s="1" t="b">
        <v>1</v>
      </c>
      <c r="R755" s="1">
        <f t="shared" si="58"/>
        <v>0</v>
      </c>
      <c r="T755" s="1">
        <f t="shared" si="53"/>
        <v>0</v>
      </c>
      <c r="U755" s="1">
        <f t="shared" si="54"/>
        <v>0</v>
      </c>
    </row>
    <row r="756" spans="1:21" x14ac:dyDescent="0.25">
      <c r="A756" s="1" t="s">
        <v>1615</v>
      </c>
      <c r="B756" s="1" t="s">
        <v>1607</v>
      </c>
      <c r="C756" s="1" t="s">
        <v>34</v>
      </c>
      <c r="D756" s="2">
        <v>45088</v>
      </c>
      <c r="E756" s="2">
        <v>45380</v>
      </c>
      <c r="F756" s="2">
        <v>45088</v>
      </c>
      <c r="G756" s="2">
        <v>45380</v>
      </c>
      <c r="H756" s="1" t="s">
        <v>20</v>
      </c>
      <c r="I756" s="1">
        <v>100</v>
      </c>
      <c r="J756" s="1">
        <v>65449033</v>
      </c>
      <c r="L756" s="1" t="s">
        <v>1616</v>
      </c>
      <c r="M756" s="1" t="s">
        <v>1616</v>
      </c>
      <c r="N756" s="1" t="s">
        <v>22</v>
      </c>
      <c r="O756" s="1">
        <v>1</v>
      </c>
      <c r="P756" s="1" t="b">
        <v>1</v>
      </c>
      <c r="Q756" s="1" t="s">
        <v>29</v>
      </c>
      <c r="R756" s="1">
        <f t="shared" si="58"/>
        <v>0</v>
      </c>
      <c r="T756" s="1">
        <f t="shared" si="53"/>
        <v>0</v>
      </c>
      <c r="U756" s="1">
        <f t="shared" si="54"/>
        <v>0</v>
      </c>
    </row>
    <row r="757" spans="1:21" x14ac:dyDescent="0.25">
      <c r="A757" s="1" t="s">
        <v>1617</v>
      </c>
      <c r="B757" s="1" t="s">
        <v>1607</v>
      </c>
      <c r="C757" s="1" t="s">
        <v>37</v>
      </c>
      <c r="D757" s="2">
        <v>45380</v>
      </c>
      <c r="E757" s="2">
        <v>45497</v>
      </c>
      <c r="F757" s="2">
        <v>45380</v>
      </c>
      <c r="G757" s="2">
        <v>45497</v>
      </c>
      <c r="H757" s="1" t="s">
        <v>20</v>
      </c>
      <c r="I757" s="1">
        <v>100</v>
      </c>
      <c r="J757" s="1">
        <v>26179613</v>
      </c>
      <c r="L757" s="1" t="s">
        <v>1618</v>
      </c>
      <c r="M757" s="1" t="s">
        <v>1618</v>
      </c>
      <c r="N757" s="1" t="s">
        <v>22</v>
      </c>
      <c r="O757" s="1">
        <v>1</v>
      </c>
      <c r="P757" s="1" t="b">
        <v>1</v>
      </c>
      <c r="R757" s="1">
        <f t="shared" si="58"/>
        <v>0</v>
      </c>
      <c r="T757" s="1">
        <f t="shared" si="53"/>
        <v>0</v>
      </c>
      <c r="U757" s="1">
        <f t="shared" si="54"/>
        <v>0</v>
      </c>
    </row>
    <row r="758" spans="1:21" x14ac:dyDescent="0.25">
      <c r="A758" s="1" t="s">
        <v>1619</v>
      </c>
      <c r="B758" s="1" t="s">
        <v>1607</v>
      </c>
      <c r="C758" s="1" t="s">
        <v>41</v>
      </c>
      <c r="D758" s="2">
        <v>45497</v>
      </c>
      <c r="E758" s="2">
        <v>45590</v>
      </c>
      <c r="F758" s="2">
        <v>45497</v>
      </c>
      <c r="G758" s="2">
        <v>45590</v>
      </c>
      <c r="H758" s="1" t="s">
        <v>20</v>
      </c>
      <c r="I758" s="1">
        <v>100</v>
      </c>
      <c r="J758" s="1">
        <v>20943690</v>
      </c>
      <c r="L758" s="1" t="s">
        <v>1620</v>
      </c>
      <c r="M758" s="1" t="s">
        <v>1620</v>
      </c>
      <c r="N758" s="1" t="s">
        <v>22</v>
      </c>
      <c r="O758" s="1">
        <v>1</v>
      </c>
      <c r="P758" s="1" t="b">
        <v>1</v>
      </c>
      <c r="R758" s="1">
        <f t="shared" si="58"/>
        <v>0</v>
      </c>
      <c r="T758" s="1">
        <f t="shared" si="53"/>
        <v>0</v>
      </c>
      <c r="U758" s="1">
        <f t="shared" si="54"/>
        <v>0</v>
      </c>
    </row>
    <row r="759" spans="1:21" x14ac:dyDescent="0.25">
      <c r="A759" s="1" t="s">
        <v>1621</v>
      </c>
      <c r="B759" s="1" t="s">
        <v>1607</v>
      </c>
      <c r="C759" s="1" t="s">
        <v>45</v>
      </c>
      <c r="D759" s="2">
        <v>45590</v>
      </c>
      <c r="E759" s="2">
        <v>45707</v>
      </c>
      <c r="F759" s="2">
        <v>45590</v>
      </c>
      <c r="G759" s="2">
        <v>45707</v>
      </c>
      <c r="H759" s="1" t="s">
        <v>20</v>
      </c>
      <c r="I759" s="1">
        <v>100</v>
      </c>
      <c r="J759" s="1">
        <v>26179613</v>
      </c>
      <c r="L759" s="1" t="s">
        <v>1622</v>
      </c>
      <c r="M759" s="1" t="s">
        <v>1622</v>
      </c>
      <c r="N759" s="1" t="s">
        <v>22</v>
      </c>
      <c r="O759" s="1">
        <v>1</v>
      </c>
      <c r="P759" s="1" t="b">
        <v>1</v>
      </c>
      <c r="R759" s="1">
        <f t="shared" si="58"/>
        <v>0</v>
      </c>
      <c r="T759" s="1">
        <f t="shared" si="53"/>
        <v>0</v>
      </c>
      <c r="U759" s="1">
        <f t="shared" si="54"/>
        <v>0</v>
      </c>
    </row>
    <row r="760" spans="1:21" x14ac:dyDescent="0.25">
      <c r="A760" s="1" t="s">
        <v>1623</v>
      </c>
      <c r="B760" s="1" t="s">
        <v>1607</v>
      </c>
      <c r="C760" s="1" t="s">
        <v>48</v>
      </c>
      <c r="D760" s="2">
        <v>45707</v>
      </c>
      <c r="E760" s="2">
        <v>45742</v>
      </c>
      <c r="F760" s="2">
        <v>45707</v>
      </c>
      <c r="G760" s="2">
        <v>45742</v>
      </c>
      <c r="H760" s="1" t="s">
        <v>20</v>
      </c>
      <c r="I760" s="1">
        <v>100</v>
      </c>
      <c r="J760" s="1">
        <v>7853884</v>
      </c>
      <c r="L760" s="1" t="s">
        <v>1624</v>
      </c>
      <c r="M760" s="1" t="s">
        <v>1624</v>
      </c>
      <c r="N760" s="1" t="s">
        <v>22</v>
      </c>
      <c r="O760" s="1">
        <v>1</v>
      </c>
      <c r="P760" s="1" t="b">
        <v>1</v>
      </c>
      <c r="R760" s="1">
        <f t="shared" si="58"/>
        <v>0</v>
      </c>
      <c r="T760" s="1">
        <f t="shared" si="53"/>
        <v>0</v>
      </c>
      <c r="U760" s="1">
        <f t="shared" si="54"/>
        <v>0</v>
      </c>
    </row>
    <row r="761" spans="1:21" x14ac:dyDescent="0.25">
      <c r="A761" s="1" t="s">
        <v>1625</v>
      </c>
      <c r="B761" s="1" t="s">
        <v>1607</v>
      </c>
      <c r="C761" s="1" t="s">
        <v>51</v>
      </c>
      <c r="D761" s="2">
        <v>45742</v>
      </c>
      <c r="E761" s="2">
        <v>45765</v>
      </c>
      <c r="F761" s="2">
        <v>45742</v>
      </c>
      <c r="G761" s="2">
        <v>45765</v>
      </c>
      <c r="H761" s="1" t="s">
        <v>20</v>
      </c>
      <c r="I761" s="1">
        <v>100</v>
      </c>
      <c r="J761" s="1">
        <v>5235922</v>
      </c>
      <c r="L761" s="1" t="s">
        <v>1626</v>
      </c>
      <c r="M761" s="1" t="s">
        <v>1626</v>
      </c>
      <c r="N761" s="1" t="s">
        <v>22</v>
      </c>
      <c r="O761" s="1">
        <v>1</v>
      </c>
      <c r="P761" s="1" t="b">
        <v>1</v>
      </c>
      <c r="R761" s="1">
        <f t="shared" si="58"/>
        <v>0</v>
      </c>
      <c r="T761" s="1">
        <f t="shared" si="53"/>
        <v>0</v>
      </c>
      <c r="U761" s="1">
        <f t="shared" si="54"/>
        <v>0</v>
      </c>
    </row>
    <row r="762" spans="1:21" x14ac:dyDescent="0.25">
      <c r="A762" s="1" t="s">
        <v>1627</v>
      </c>
      <c r="B762" s="1" t="s">
        <v>1628</v>
      </c>
      <c r="C762" s="1" t="s">
        <v>19</v>
      </c>
      <c r="D762" s="2">
        <v>44616</v>
      </c>
      <c r="E762" s="2">
        <v>44634</v>
      </c>
      <c r="F762" s="2">
        <v>44616</v>
      </c>
      <c r="G762" s="2">
        <v>44634</v>
      </c>
      <c r="H762" s="1" t="s">
        <v>20</v>
      </c>
      <c r="I762" s="1">
        <v>100</v>
      </c>
      <c r="J762" s="1">
        <v>567290</v>
      </c>
      <c r="L762" s="1" t="s">
        <v>1629</v>
      </c>
      <c r="M762" s="1" t="s">
        <v>1629</v>
      </c>
      <c r="N762" s="1" t="s">
        <v>22</v>
      </c>
      <c r="O762" s="1">
        <v>1</v>
      </c>
      <c r="P762" s="1" t="b">
        <v>1</v>
      </c>
      <c r="R762" s="1">
        <f t="shared" si="58"/>
        <v>0</v>
      </c>
      <c r="T762" s="1">
        <f t="shared" si="53"/>
        <v>0</v>
      </c>
      <c r="U762" s="1">
        <f t="shared" si="54"/>
        <v>0</v>
      </c>
    </row>
    <row r="763" spans="1:21" x14ac:dyDescent="0.25">
      <c r="A763" s="1" t="s">
        <v>1630</v>
      </c>
      <c r="B763" s="1" t="s">
        <v>1628</v>
      </c>
      <c r="C763" s="1" t="s">
        <v>24</v>
      </c>
      <c r="D763" s="2">
        <v>44634</v>
      </c>
      <c r="E763" s="2">
        <v>44670</v>
      </c>
      <c r="F763" s="2">
        <v>44634</v>
      </c>
      <c r="G763" s="2">
        <v>44670</v>
      </c>
      <c r="H763" s="1" t="s">
        <v>20</v>
      </c>
      <c r="I763" s="1">
        <v>100</v>
      </c>
      <c r="J763" s="1">
        <v>1134580</v>
      </c>
      <c r="L763" s="1" t="s">
        <v>1631</v>
      </c>
      <c r="M763" s="1" t="s">
        <v>1631</v>
      </c>
      <c r="N763" s="1" t="s">
        <v>22</v>
      </c>
      <c r="O763" s="1">
        <v>1</v>
      </c>
      <c r="P763" s="1" t="b">
        <v>1</v>
      </c>
      <c r="R763" s="1">
        <f t="shared" si="58"/>
        <v>0</v>
      </c>
      <c r="T763" s="1">
        <f t="shared" si="53"/>
        <v>0</v>
      </c>
      <c r="U763" s="1">
        <f t="shared" si="54"/>
        <v>0</v>
      </c>
    </row>
    <row r="764" spans="1:21" x14ac:dyDescent="0.25">
      <c r="A764" s="1" t="s">
        <v>1632</v>
      </c>
      <c r="B764" s="1" t="s">
        <v>1628</v>
      </c>
      <c r="C764" s="1" t="s">
        <v>27</v>
      </c>
      <c r="D764" s="2">
        <v>44670</v>
      </c>
      <c r="E764" s="2">
        <v>44713</v>
      </c>
      <c r="F764" s="2">
        <v>44670</v>
      </c>
      <c r="G764" s="2">
        <v>44713</v>
      </c>
      <c r="H764" s="1" t="s">
        <v>20</v>
      </c>
      <c r="I764" s="1">
        <v>100</v>
      </c>
      <c r="J764" s="1">
        <v>1361496</v>
      </c>
      <c r="L764" s="1" t="s">
        <v>1633</v>
      </c>
      <c r="M764" s="1" t="s">
        <v>1633</v>
      </c>
      <c r="N764" s="1" t="s">
        <v>22</v>
      </c>
      <c r="O764" s="1">
        <v>1</v>
      </c>
      <c r="P764" s="1" t="b">
        <v>1</v>
      </c>
      <c r="Q764" s="1" t="s">
        <v>29</v>
      </c>
      <c r="R764" s="1">
        <f t="shared" si="58"/>
        <v>0</v>
      </c>
      <c r="T764" s="1">
        <f t="shared" si="53"/>
        <v>0</v>
      </c>
      <c r="U764" s="1">
        <f t="shared" si="54"/>
        <v>0</v>
      </c>
    </row>
    <row r="765" spans="1:21" x14ac:dyDescent="0.25">
      <c r="A765" s="1" t="s">
        <v>1634</v>
      </c>
      <c r="B765" s="1" t="s">
        <v>1628</v>
      </c>
      <c r="C765" s="1" t="s">
        <v>31</v>
      </c>
      <c r="D765" s="2">
        <v>44713</v>
      </c>
      <c r="E765" s="2">
        <v>44767</v>
      </c>
      <c r="F765" s="2">
        <v>44713</v>
      </c>
      <c r="G765" s="2">
        <v>44767</v>
      </c>
      <c r="H765" s="1" t="s">
        <v>20</v>
      </c>
      <c r="I765" s="1">
        <v>100</v>
      </c>
      <c r="J765" s="1">
        <v>1701870</v>
      </c>
      <c r="L765" s="1" t="s">
        <v>1635</v>
      </c>
      <c r="M765" s="1" t="s">
        <v>1635</v>
      </c>
      <c r="N765" s="1" t="s">
        <v>22</v>
      </c>
      <c r="O765" s="1">
        <v>1</v>
      </c>
      <c r="P765" s="1" t="b">
        <v>1</v>
      </c>
      <c r="R765" s="1">
        <f t="shared" si="58"/>
        <v>0</v>
      </c>
      <c r="T765" s="1">
        <f t="shared" si="53"/>
        <v>0</v>
      </c>
      <c r="U765" s="1">
        <f t="shared" si="54"/>
        <v>0</v>
      </c>
    </row>
    <row r="766" spans="1:21" x14ac:dyDescent="0.25">
      <c r="A766" s="1" t="s">
        <v>1636</v>
      </c>
      <c r="B766" s="1" t="s">
        <v>1628</v>
      </c>
      <c r="C766" s="1" t="s">
        <v>34</v>
      </c>
      <c r="D766" s="2">
        <v>44767</v>
      </c>
      <c r="E766" s="2">
        <v>44857</v>
      </c>
      <c r="F766" s="2">
        <v>44767</v>
      </c>
      <c r="G766" s="2">
        <v>44857</v>
      </c>
      <c r="H766" s="1" t="s">
        <v>20</v>
      </c>
      <c r="I766" s="1">
        <v>100</v>
      </c>
      <c r="J766" s="1">
        <v>2836450</v>
      </c>
      <c r="L766" s="1" t="s">
        <v>1637</v>
      </c>
      <c r="M766" s="1" t="s">
        <v>1637</v>
      </c>
      <c r="N766" s="1" t="s">
        <v>22</v>
      </c>
      <c r="O766" s="1">
        <v>1</v>
      </c>
      <c r="P766" s="1" t="b">
        <v>1</v>
      </c>
      <c r="Q766" s="1" t="s">
        <v>29</v>
      </c>
      <c r="R766" s="1">
        <f t="shared" si="58"/>
        <v>0</v>
      </c>
      <c r="T766" s="1">
        <f t="shared" si="53"/>
        <v>0</v>
      </c>
      <c r="U766" s="1">
        <f t="shared" si="54"/>
        <v>0</v>
      </c>
    </row>
    <row r="767" spans="1:21" x14ac:dyDescent="0.25">
      <c r="A767" s="1" t="s">
        <v>1638</v>
      </c>
      <c r="B767" s="1" t="s">
        <v>1628</v>
      </c>
      <c r="C767" s="1" t="s">
        <v>37</v>
      </c>
      <c r="D767" s="2">
        <v>44857</v>
      </c>
      <c r="E767" s="2">
        <v>44893</v>
      </c>
      <c r="F767" s="2">
        <v>44857</v>
      </c>
      <c r="G767" s="2">
        <v>44893</v>
      </c>
      <c r="H767" s="1" t="s">
        <v>20</v>
      </c>
      <c r="I767" s="1">
        <v>100</v>
      </c>
      <c r="J767" s="1">
        <v>1134580</v>
      </c>
      <c r="L767" s="1" t="s">
        <v>1639</v>
      </c>
      <c r="M767" s="1" t="s">
        <v>1639</v>
      </c>
      <c r="N767" s="1" t="s">
        <v>22</v>
      </c>
      <c r="O767" s="1">
        <v>1</v>
      </c>
      <c r="P767" s="1" t="b">
        <v>1</v>
      </c>
      <c r="R767" s="1">
        <f t="shared" si="58"/>
        <v>0</v>
      </c>
      <c r="T767" s="1">
        <f t="shared" si="53"/>
        <v>0</v>
      </c>
      <c r="U767" s="1">
        <f t="shared" si="54"/>
        <v>0</v>
      </c>
    </row>
    <row r="768" spans="1:21" x14ac:dyDescent="0.25">
      <c r="A768" s="1" t="s">
        <v>1640</v>
      </c>
      <c r="B768" s="1" t="s">
        <v>1628</v>
      </c>
      <c r="C768" s="1" t="s">
        <v>41</v>
      </c>
      <c r="D768" s="2">
        <v>44893</v>
      </c>
      <c r="E768" s="2">
        <v>44921</v>
      </c>
      <c r="F768" s="2">
        <v>44893</v>
      </c>
      <c r="G768" s="2">
        <v>44921</v>
      </c>
      <c r="H768" s="1" t="s">
        <v>20</v>
      </c>
      <c r="I768" s="1">
        <v>100</v>
      </c>
      <c r="J768" s="1">
        <v>907664</v>
      </c>
      <c r="L768" s="1" t="s">
        <v>1641</v>
      </c>
      <c r="M768" s="1" t="s">
        <v>1641</v>
      </c>
      <c r="N768" s="1" t="s">
        <v>22</v>
      </c>
      <c r="O768" s="1">
        <v>1</v>
      </c>
      <c r="P768" s="1" t="b">
        <v>1</v>
      </c>
      <c r="R768" s="1">
        <f t="shared" si="58"/>
        <v>0</v>
      </c>
      <c r="T768" s="1">
        <f t="shared" si="53"/>
        <v>0</v>
      </c>
      <c r="U768" s="1">
        <f t="shared" si="54"/>
        <v>0</v>
      </c>
    </row>
    <row r="769" spans="1:21" x14ac:dyDescent="0.25">
      <c r="A769" s="1" t="s">
        <v>1642</v>
      </c>
      <c r="B769" s="1" t="s">
        <v>1628</v>
      </c>
      <c r="C769" s="1" t="s">
        <v>45</v>
      </c>
      <c r="D769" s="2">
        <v>44921</v>
      </c>
      <c r="E769" s="2">
        <v>44957</v>
      </c>
      <c r="F769" s="2">
        <v>44921</v>
      </c>
      <c r="G769" s="2">
        <v>44957</v>
      </c>
      <c r="H769" s="1" t="s">
        <v>20</v>
      </c>
      <c r="I769" s="1">
        <v>100</v>
      </c>
      <c r="J769" s="1">
        <v>1134580</v>
      </c>
      <c r="L769" s="1" t="s">
        <v>1643</v>
      </c>
      <c r="M769" s="1" t="s">
        <v>1643</v>
      </c>
      <c r="N769" s="1" t="s">
        <v>22</v>
      </c>
      <c r="O769" s="1">
        <v>1</v>
      </c>
      <c r="P769" s="1" t="b">
        <v>1</v>
      </c>
      <c r="R769" s="1">
        <f t="shared" si="58"/>
        <v>0</v>
      </c>
      <c r="T769" s="1">
        <f t="shared" si="53"/>
        <v>0</v>
      </c>
      <c r="U769" s="1">
        <f t="shared" si="54"/>
        <v>0</v>
      </c>
    </row>
    <row r="770" spans="1:21" x14ac:dyDescent="0.25">
      <c r="A770" s="1" t="s">
        <v>1644</v>
      </c>
      <c r="B770" s="1" t="s">
        <v>1628</v>
      </c>
      <c r="C770" s="1" t="s">
        <v>48</v>
      </c>
      <c r="D770" s="2">
        <v>44957</v>
      </c>
      <c r="E770" s="2">
        <v>44967</v>
      </c>
      <c r="F770" s="2">
        <v>44957</v>
      </c>
      <c r="G770" s="2">
        <v>44967</v>
      </c>
      <c r="H770" s="1" t="s">
        <v>20</v>
      </c>
      <c r="I770" s="1">
        <v>100</v>
      </c>
      <c r="J770" s="1">
        <v>340374</v>
      </c>
      <c r="L770" s="1" t="s">
        <v>1645</v>
      </c>
      <c r="M770" s="1" t="s">
        <v>1645</v>
      </c>
      <c r="N770" s="1" t="s">
        <v>22</v>
      </c>
      <c r="O770" s="1">
        <v>1</v>
      </c>
      <c r="P770" s="1" t="b">
        <v>1</v>
      </c>
      <c r="R770" s="1">
        <f t="shared" si="58"/>
        <v>0</v>
      </c>
      <c r="T770" s="1">
        <f t="shared" si="53"/>
        <v>0</v>
      </c>
      <c r="U770" s="1">
        <f t="shared" si="54"/>
        <v>0</v>
      </c>
    </row>
    <row r="771" spans="1:21" x14ac:dyDescent="0.25">
      <c r="A771" s="1" t="s">
        <v>1646</v>
      </c>
      <c r="B771" s="1" t="s">
        <v>1628</v>
      </c>
      <c r="C771" s="1" t="s">
        <v>51</v>
      </c>
      <c r="D771" s="2">
        <v>44967</v>
      </c>
      <c r="E771" s="2">
        <v>44974</v>
      </c>
      <c r="F771" s="2">
        <v>44967</v>
      </c>
      <c r="G771" s="2">
        <v>44974</v>
      </c>
      <c r="H771" s="1" t="s">
        <v>20</v>
      </c>
      <c r="I771" s="1">
        <v>100</v>
      </c>
      <c r="J771" s="1">
        <v>226916</v>
      </c>
      <c r="L771" s="1" t="s">
        <v>1647</v>
      </c>
      <c r="M771" s="1" t="s">
        <v>1647</v>
      </c>
      <c r="N771" s="1" t="s">
        <v>22</v>
      </c>
      <c r="O771" s="1">
        <v>1</v>
      </c>
      <c r="P771" s="1" t="b">
        <v>1</v>
      </c>
      <c r="R771" s="1">
        <f t="shared" si="58"/>
        <v>0</v>
      </c>
      <c r="T771" s="1">
        <f t="shared" ref="T771:T834" si="59">IF(S771&gt;0,1,0)</f>
        <v>0</v>
      </c>
      <c r="U771" s="1">
        <f t="shared" ref="U771:U834" si="60">IF(S771&gt;0,S771,0)</f>
        <v>0</v>
      </c>
    </row>
    <row r="772" spans="1:21" x14ac:dyDescent="0.25">
      <c r="A772" s="1" t="s">
        <v>1648</v>
      </c>
      <c r="B772" s="1" t="s">
        <v>1649</v>
      </c>
      <c r="C772" s="1" t="s">
        <v>19</v>
      </c>
      <c r="D772" s="2">
        <v>44476</v>
      </c>
      <c r="E772" s="2">
        <v>44525</v>
      </c>
      <c r="F772" s="2">
        <v>44476</v>
      </c>
      <c r="G772" s="2">
        <v>44525</v>
      </c>
      <c r="H772" s="1" t="s">
        <v>20</v>
      </c>
      <c r="I772" s="1">
        <v>100</v>
      </c>
      <c r="J772" s="1">
        <v>10072701</v>
      </c>
      <c r="L772" s="1" t="s">
        <v>1650</v>
      </c>
      <c r="M772" s="1" t="s">
        <v>1650</v>
      </c>
      <c r="N772" s="1" t="s">
        <v>22</v>
      </c>
      <c r="O772" s="1">
        <v>1</v>
      </c>
      <c r="P772" s="1" t="b">
        <v>1</v>
      </c>
      <c r="R772" s="1">
        <f t="shared" si="58"/>
        <v>0</v>
      </c>
      <c r="T772" s="1">
        <f t="shared" si="59"/>
        <v>0</v>
      </c>
      <c r="U772" s="1">
        <f t="shared" si="60"/>
        <v>0</v>
      </c>
    </row>
    <row r="773" spans="1:21" x14ac:dyDescent="0.25">
      <c r="A773" s="1" t="s">
        <v>1651</v>
      </c>
      <c r="B773" s="1" t="s">
        <v>1649</v>
      </c>
      <c r="C773" s="1" t="s">
        <v>24</v>
      </c>
      <c r="D773" s="2">
        <v>44525</v>
      </c>
      <c r="E773" s="2">
        <v>44624</v>
      </c>
      <c r="F773" s="2">
        <v>44525</v>
      </c>
      <c r="G773" s="2">
        <v>44624</v>
      </c>
      <c r="H773" s="1" t="s">
        <v>20</v>
      </c>
      <c r="I773" s="1">
        <v>100</v>
      </c>
      <c r="J773" s="1">
        <v>20145403</v>
      </c>
      <c r="L773" s="1" t="s">
        <v>1652</v>
      </c>
      <c r="M773" s="1" t="s">
        <v>1652</v>
      </c>
      <c r="N773" s="1" t="s">
        <v>22</v>
      </c>
      <c r="O773" s="1">
        <v>1</v>
      </c>
      <c r="P773" s="1" t="b">
        <v>1</v>
      </c>
      <c r="R773" s="1">
        <f t="shared" si="58"/>
        <v>0</v>
      </c>
      <c r="T773" s="1">
        <f t="shared" si="59"/>
        <v>0</v>
      </c>
      <c r="U773" s="1">
        <f t="shared" si="60"/>
        <v>0</v>
      </c>
    </row>
    <row r="774" spans="1:21" x14ac:dyDescent="0.25">
      <c r="A774" s="1" t="s">
        <v>1653</v>
      </c>
      <c r="B774" s="1" t="s">
        <v>1649</v>
      </c>
      <c r="C774" s="1" t="s">
        <v>27</v>
      </c>
      <c r="D774" s="2">
        <v>44624</v>
      </c>
      <c r="E774" s="2">
        <v>44742</v>
      </c>
      <c r="F774" s="2">
        <v>44624</v>
      </c>
      <c r="G774" s="2">
        <v>44742</v>
      </c>
      <c r="H774" s="1" t="s">
        <v>20</v>
      </c>
      <c r="I774" s="1">
        <v>100</v>
      </c>
      <c r="J774" s="1">
        <v>24174483</v>
      </c>
      <c r="L774" s="1" t="s">
        <v>1654</v>
      </c>
      <c r="M774" s="1" t="s">
        <v>1654</v>
      </c>
      <c r="N774" s="1" t="s">
        <v>22</v>
      </c>
      <c r="O774" s="1">
        <v>1</v>
      </c>
      <c r="P774" s="1" t="b">
        <v>1</v>
      </c>
      <c r="Q774" s="1" t="s">
        <v>29</v>
      </c>
      <c r="R774" s="1">
        <f t="shared" ref="R774:R807" si="61">G774-E774</f>
        <v>0</v>
      </c>
      <c r="T774" s="1">
        <f t="shared" si="59"/>
        <v>0</v>
      </c>
      <c r="U774" s="1">
        <f t="shared" si="60"/>
        <v>0</v>
      </c>
    </row>
    <row r="775" spans="1:21" x14ac:dyDescent="0.25">
      <c r="A775" s="1" t="s">
        <v>1655</v>
      </c>
      <c r="B775" s="1" t="s">
        <v>1649</v>
      </c>
      <c r="C775" s="1" t="s">
        <v>31</v>
      </c>
      <c r="D775" s="2">
        <v>44742</v>
      </c>
      <c r="E775" s="2">
        <v>44890</v>
      </c>
      <c r="F775" s="2">
        <v>44742</v>
      </c>
      <c r="G775" s="2">
        <v>44890</v>
      </c>
      <c r="H775" s="1" t="s">
        <v>20</v>
      </c>
      <c r="I775" s="1">
        <v>100</v>
      </c>
      <c r="J775" s="1">
        <v>30218104</v>
      </c>
      <c r="L775" s="1" t="s">
        <v>1656</v>
      </c>
      <c r="M775" s="1" t="s">
        <v>1656</v>
      </c>
      <c r="N775" s="1" t="s">
        <v>22</v>
      </c>
      <c r="O775" s="1">
        <v>1</v>
      </c>
      <c r="P775" s="1" t="b">
        <v>1</v>
      </c>
      <c r="R775" s="1">
        <f t="shared" si="61"/>
        <v>0</v>
      </c>
      <c r="T775" s="1">
        <f t="shared" si="59"/>
        <v>0</v>
      </c>
      <c r="U775" s="1">
        <f t="shared" si="60"/>
        <v>0</v>
      </c>
    </row>
    <row r="776" spans="1:21" x14ac:dyDescent="0.25">
      <c r="A776" s="1" t="s">
        <v>1657</v>
      </c>
      <c r="B776" s="1" t="s">
        <v>1649</v>
      </c>
      <c r="C776" s="1" t="s">
        <v>34</v>
      </c>
      <c r="D776" s="2">
        <v>44890</v>
      </c>
      <c r="E776" s="2">
        <v>45137</v>
      </c>
      <c r="F776" s="2">
        <v>44890</v>
      </c>
      <c r="G776" s="2">
        <v>45137</v>
      </c>
      <c r="H776" s="1" t="s">
        <v>20</v>
      </c>
      <c r="I776" s="1">
        <v>100</v>
      </c>
      <c r="J776" s="1">
        <v>50363508</v>
      </c>
      <c r="L776" s="1" t="s">
        <v>1658</v>
      </c>
      <c r="M776" s="1" t="s">
        <v>1658</v>
      </c>
      <c r="N776" s="1" t="s">
        <v>22</v>
      </c>
      <c r="O776" s="1">
        <v>1</v>
      </c>
      <c r="P776" s="1" t="b">
        <v>1</v>
      </c>
      <c r="Q776" s="1" t="s">
        <v>29</v>
      </c>
      <c r="R776" s="1">
        <f t="shared" si="61"/>
        <v>0</v>
      </c>
      <c r="T776" s="1">
        <f t="shared" si="59"/>
        <v>0</v>
      </c>
      <c r="U776" s="1">
        <f t="shared" si="60"/>
        <v>0</v>
      </c>
    </row>
    <row r="777" spans="1:21" x14ac:dyDescent="0.25">
      <c r="A777" s="1" t="s">
        <v>1659</v>
      </c>
      <c r="B777" s="1" t="s">
        <v>1649</v>
      </c>
      <c r="C777" s="1" t="s">
        <v>37</v>
      </c>
      <c r="D777" s="2">
        <v>45137</v>
      </c>
      <c r="E777" s="2">
        <v>45236</v>
      </c>
      <c r="F777" s="2">
        <v>45137</v>
      </c>
      <c r="G777" s="2">
        <v>45236</v>
      </c>
      <c r="H777" s="1" t="s">
        <v>20</v>
      </c>
      <c r="I777" s="1">
        <v>100</v>
      </c>
      <c r="J777" s="1">
        <v>20145403</v>
      </c>
      <c r="L777" s="1" t="s">
        <v>1660</v>
      </c>
      <c r="M777" s="1" t="s">
        <v>1660</v>
      </c>
      <c r="N777" s="1" t="s">
        <v>22</v>
      </c>
      <c r="O777" s="1">
        <v>1</v>
      </c>
      <c r="P777" s="1" t="b">
        <v>1</v>
      </c>
      <c r="R777" s="1">
        <f t="shared" si="61"/>
        <v>0</v>
      </c>
      <c r="T777" s="1">
        <f t="shared" si="59"/>
        <v>0</v>
      </c>
      <c r="U777" s="1">
        <f t="shared" si="60"/>
        <v>0</v>
      </c>
    </row>
    <row r="778" spans="1:21" x14ac:dyDescent="0.25">
      <c r="A778" s="1" t="s">
        <v>1661</v>
      </c>
      <c r="B778" s="1" t="s">
        <v>1649</v>
      </c>
      <c r="C778" s="1" t="s">
        <v>41</v>
      </c>
      <c r="D778" s="2">
        <v>45236</v>
      </c>
      <c r="E778" s="2">
        <v>45315</v>
      </c>
      <c r="F778" s="2">
        <v>45236</v>
      </c>
      <c r="G778" s="2">
        <v>45315</v>
      </c>
      <c r="H778" s="1" t="s">
        <v>20</v>
      </c>
      <c r="I778" s="1">
        <v>100</v>
      </c>
      <c r="J778" s="1">
        <v>16116322</v>
      </c>
      <c r="L778" s="1" t="s">
        <v>1662</v>
      </c>
      <c r="M778" s="1" t="s">
        <v>1662</v>
      </c>
      <c r="N778" s="1" t="s">
        <v>22</v>
      </c>
      <c r="O778" s="1">
        <v>1</v>
      </c>
      <c r="P778" s="1" t="b">
        <v>1</v>
      </c>
      <c r="R778" s="1">
        <f t="shared" si="61"/>
        <v>0</v>
      </c>
      <c r="T778" s="1">
        <f t="shared" si="59"/>
        <v>0</v>
      </c>
      <c r="U778" s="1">
        <f t="shared" si="60"/>
        <v>0</v>
      </c>
    </row>
    <row r="779" spans="1:21" x14ac:dyDescent="0.25">
      <c r="A779" s="1" t="s">
        <v>1663</v>
      </c>
      <c r="B779" s="1" t="s">
        <v>1649</v>
      </c>
      <c r="C779" s="1" t="s">
        <v>45</v>
      </c>
      <c r="D779" s="2">
        <v>45315</v>
      </c>
      <c r="E779" s="2">
        <v>45414</v>
      </c>
      <c r="F779" s="2">
        <v>45315</v>
      </c>
      <c r="G779" s="2">
        <v>45414</v>
      </c>
      <c r="H779" s="1" t="s">
        <v>20</v>
      </c>
      <c r="I779" s="1">
        <v>100</v>
      </c>
      <c r="J779" s="1">
        <v>20145403</v>
      </c>
      <c r="L779" s="1" t="s">
        <v>1664</v>
      </c>
      <c r="M779" s="1" t="s">
        <v>1664</v>
      </c>
      <c r="N779" s="1" t="s">
        <v>22</v>
      </c>
      <c r="O779" s="1">
        <v>1</v>
      </c>
      <c r="P779" s="1" t="b">
        <v>1</v>
      </c>
      <c r="R779" s="1">
        <f t="shared" si="61"/>
        <v>0</v>
      </c>
      <c r="T779" s="1">
        <f t="shared" si="59"/>
        <v>0</v>
      </c>
      <c r="U779" s="1">
        <f t="shared" si="60"/>
        <v>0</v>
      </c>
    </row>
    <row r="780" spans="1:21" x14ac:dyDescent="0.25">
      <c r="A780" s="1" t="s">
        <v>1665</v>
      </c>
      <c r="B780" s="1" t="s">
        <v>1649</v>
      </c>
      <c r="C780" s="1" t="s">
        <v>48</v>
      </c>
      <c r="D780" s="2">
        <v>45414</v>
      </c>
      <c r="E780" s="2">
        <v>45443</v>
      </c>
      <c r="F780" s="2">
        <v>45414</v>
      </c>
      <c r="G780" s="2">
        <v>45443</v>
      </c>
      <c r="H780" s="1" t="s">
        <v>20</v>
      </c>
      <c r="I780" s="1">
        <v>100</v>
      </c>
      <c r="J780" s="1">
        <v>6043620</v>
      </c>
      <c r="L780" s="1" t="s">
        <v>1666</v>
      </c>
      <c r="M780" s="1" t="s">
        <v>1666</v>
      </c>
      <c r="N780" s="1" t="s">
        <v>22</v>
      </c>
      <c r="O780" s="1">
        <v>1</v>
      </c>
      <c r="P780" s="1" t="b">
        <v>1</v>
      </c>
      <c r="R780" s="1">
        <f t="shared" si="61"/>
        <v>0</v>
      </c>
      <c r="T780" s="1">
        <f t="shared" si="59"/>
        <v>0</v>
      </c>
      <c r="U780" s="1">
        <f t="shared" si="60"/>
        <v>0</v>
      </c>
    </row>
    <row r="781" spans="1:21" x14ac:dyDescent="0.25">
      <c r="A781" s="1" t="s">
        <v>1667</v>
      </c>
      <c r="B781" s="1" t="s">
        <v>1649</v>
      </c>
      <c r="C781" s="1" t="s">
        <v>51</v>
      </c>
      <c r="D781" s="2">
        <v>45443</v>
      </c>
      <c r="E781" s="2">
        <v>45462</v>
      </c>
      <c r="F781" s="2">
        <v>45443</v>
      </c>
      <c r="G781" s="2">
        <v>45462</v>
      </c>
      <c r="H781" s="1" t="s">
        <v>20</v>
      </c>
      <c r="I781" s="1">
        <v>100</v>
      </c>
      <c r="J781" s="1">
        <v>4029080</v>
      </c>
      <c r="L781" s="1" t="s">
        <v>1668</v>
      </c>
      <c r="M781" s="1" t="s">
        <v>1668</v>
      </c>
      <c r="N781" s="1" t="s">
        <v>22</v>
      </c>
      <c r="O781" s="1">
        <v>1</v>
      </c>
      <c r="P781" s="1" t="b">
        <v>1</v>
      </c>
      <c r="R781" s="1">
        <f t="shared" si="61"/>
        <v>0</v>
      </c>
      <c r="T781" s="1">
        <f t="shared" si="59"/>
        <v>0</v>
      </c>
      <c r="U781" s="1">
        <f t="shared" si="60"/>
        <v>0</v>
      </c>
    </row>
    <row r="782" spans="1:21" x14ac:dyDescent="0.25">
      <c r="A782" s="1" t="s">
        <v>1669</v>
      </c>
      <c r="B782" s="1" t="s">
        <v>1670</v>
      </c>
      <c r="C782" s="1" t="s">
        <v>19</v>
      </c>
      <c r="D782" s="2">
        <v>44377</v>
      </c>
      <c r="E782" s="2">
        <v>44416</v>
      </c>
      <c r="F782" s="2">
        <v>44377</v>
      </c>
      <c r="G782" s="2">
        <v>44416</v>
      </c>
      <c r="H782" s="1" t="s">
        <v>20</v>
      </c>
      <c r="I782" s="1">
        <v>100</v>
      </c>
      <c r="J782" s="1">
        <v>22105764</v>
      </c>
      <c r="L782" s="1" t="s">
        <v>1671</v>
      </c>
      <c r="M782" s="1" t="s">
        <v>1671</v>
      </c>
      <c r="N782" s="1" t="s">
        <v>22</v>
      </c>
      <c r="O782" s="1">
        <v>1</v>
      </c>
      <c r="P782" s="1" t="b">
        <v>1</v>
      </c>
      <c r="R782" s="1">
        <f t="shared" si="61"/>
        <v>0</v>
      </c>
      <c r="T782" s="1">
        <f t="shared" si="59"/>
        <v>0</v>
      </c>
      <c r="U782" s="1">
        <f t="shared" si="60"/>
        <v>0</v>
      </c>
    </row>
    <row r="783" spans="1:21" x14ac:dyDescent="0.25">
      <c r="A783" s="1" t="s">
        <v>1672</v>
      </c>
      <c r="B783" s="1" t="s">
        <v>1670</v>
      </c>
      <c r="C783" s="1" t="s">
        <v>24</v>
      </c>
      <c r="D783" s="2">
        <v>44416</v>
      </c>
      <c r="E783" s="2">
        <v>44494</v>
      </c>
      <c r="F783" s="2">
        <v>44416</v>
      </c>
      <c r="G783" s="2">
        <v>44494</v>
      </c>
      <c r="H783" s="1" t="s">
        <v>20</v>
      </c>
      <c r="I783" s="1">
        <v>100</v>
      </c>
      <c r="J783" s="1">
        <v>44211528</v>
      </c>
      <c r="L783" s="1" t="s">
        <v>1673</v>
      </c>
      <c r="M783" s="1" t="s">
        <v>1673</v>
      </c>
      <c r="N783" s="1" t="s">
        <v>22</v>
      </c>
      <c r="O783" s="1">
        <v>1</v>
      </c>
      <c r="P783" s="1" t="b">
        <v>1</v>
      </c>
      <c r="R783" s="1">
        <f t="shared" si="61"/>
        <v>0</v>
      </c>
      <c r="T783" s="1">
        <f t="shared" si="59"/>
        <v>0</v>
      </c>
      <c r="U783" s="1">
        <f t="shared" si="60"/>
        <v>0</v>
      </c>
    </row>
    <row r="784" spans="1:21" x14ac:dyDescent="0.25">
      <c r="A784" s="1" t="s">
        <v>1674</v>
      </c>
      <c r="B784" s="1" t="s">
        <v>1670</v>
      </c>
      <c r="C784" s="1" t="s">
        <v>27</v>
      </c>
      <c r="D784" s="2">
        <v>44494</v>
      </c>
      <c r="E784" s="2">
        <v>44587</v>
      </c>
      <c r="F784" s="2">
        <v>44494</v>
      </c>
      <c r="G784" s="2">
        <v>44587</v>
      </c>
      <c r="H784" s="1" t="s">
        <v>20</v>
      </c>
      <c r="I784" s="1">
        <v>100</v>
      </c>
      <c r="J784" s="1">
        <v>53053834</v>
      </c>
      <c r="L784" s="1" t="s">
        <v>1675</v>
      </c>
      <c r="M784" s="1" t="s">
        <v>1675</v>
      </c>
      <c r="N784" s="1" t="s">
        <v>22</v>
      </c>
      <c r="O784" s="1">
        <v>1</v>
      </c>
      <c r="P784" s="1" t="b">
        <v>1</v>
      </c>
      <c r="Q784" s="1" t="s">
        <v>29</v>
      </c>
      <c r="R784" s="1">
        <f t="shared" si="61"/>
        <v>0</v>
      </c>
      <c r="T784" s="1">
        <f t="shared" si="59"/>
        <v>0</v>
      </c>
      <c r="U784" s="1">
        <f t="shared" si="60"/>
        <v>0</v>
      </c>
    </row>
    <row r="785" spans="1:21" x14ac:dyDescent="0.25">
      <c r="A785" s="1" t="s">
        <v>1676</v>
      </c>
      <c r="B785" s="1" t="s">
        <v>1670</v>
      </c>
      <c r="C785" s="1" t="s">
        <v>31</v>
      </c>
      <c r="D785" s="2">
        <v>44587</v>
      </c>
      <c r="E785" s="2">
        <v>44704</v>
      </c>
      <c r="F785" s="2">
        <v>44587</v>
      </c>
      <c r="G785" s="2">
        <v>44704</v>
      </c>
      <c r="H785" s="1" t="s">
        <v>20</v>
      </c>
      <c r="I785" s="1">
        <v>100</v>
      </c>
      <c r="J785" s="1">
        <v>66317293</v>
      </c>
      <c r="L785" s="1" t="s">
        <v>1677</v>
      </c>
      <c r="M785" s="1" t="s">
        <v>1677</v>
      </c>
      <c r="N785" s="1" t="s">
        <v>22</v>
      </c>
      <c r="O785" s="1">
        <v>1</v>
      </c>
      <c r="P785" s="1" t="b">
        <v>1</v>
      </c>
      <c r="R785" s="1">
        <f t="shared" si="61"/>
        <v>0</v>
      </c>
      <c r="T785" s="1">
        <f t="shared" si="59"/>
        <v>0</v>
      </c>
      <c r="U785" s="1">
        <f t="shared" si="60"/>
        <v>0</v>
      </c>
    </row>
    <row r="786" spans="1:21" x14ac:dyDescent="0.25">
      <c r="A786" s="1" t="s">
        <v>1678</v>
      </c>
      <c r="B786" s="1" t="s">
        <v>1670</v>
      </c>
      <c r="C786" s="1" t="s">
        <v>34</v>
      </c>
      <c r="D786" s="2">
        <v>44704</v>
      </c>
      <c r="E786" s="2">
        <v>44899</v>
      </c>
      <c r="F786" s="2">
        <v>44704</v>
      </c>
      <c r="G786" s="2">
        <v>44899</v>
      </c>
      <c r="H786" s="1" t="s">
        <v>20</v>
      </c>
      <c r="I786" s="1">
        <v>100</v>
      </c>
      <c r="J786" s="1">
        <v>110528821</v>
      </c>
      <c r="L786" s="1" t="s">
        <v>1679</v>
      </c>
      <c r="M786" s="1" t="s">
        <v>1679</v>
      </c>
      <c r="N786" s="1" t="s">
        <v>22</v>
      </c>
      <c r="O786" s="1">
        <v>1</v>
      </c>
      <c r="P786" s="1" t="b">
        <v>1</v>
      </c>
      <c r="Q786" s="1" t="s">
        <v>29</v>
      </c>
      <c r="R786" s="1">
        <f t="shared" si="61"/>
        <v>0</v>
      </c>
      <c r="T786" s="1">
        <f t="shared" si="59"/>
        <v>0</v>
      </c>
      <c r="U786" s="1">
        <f t="shared" si="60"/>
        <v>0</v>
      </c>
    </row>
    <row r="787" spans="1:21" x14ac:dyDescent="0.25">
      <c r="A787" s="1" t="s">
        <v>1680</v>
      </c>
      <c r="B787" s="1" t="s">
        <v>1670</v>
      </c>
      <c r="C787" s="1" t="s">
        <v>37</v>
      </c>
      <c r="D787" s="2">
        <v>44899</v>
      </c>
      <c r="E787" s="2">
        <v>44977</v>
      </c>
      <c r="F787" s="2">
        <v>44899</v>
      </c>
      <c r="G787" s="2">
        <v>44977</v>
      </c>
      <c r="H787" s="1" t="s">
        <v>20</v>
      </c>
      <c r="I787" s="1">
        <v>100</v>
      </c>
      <c r="J787" s="1">
        <v>44211528</v>
      </c>
      <c r="L787" s="1" t="s">
        <v>1681</v>
      </c>
      <c r="M787" s="1" t="s">
        <v>1681</v>
      </c>
      <c r="N787" s="1" t="s">
        <v>22</v>
      </c>
      <c r="O787" s="1">
        <v>1</v>
      </c>
      <c r="P787" s="1" t="b">
        <v>1</v>
      </c>
      <c r="R787" s="1">
        <f t="shared" si="61"/>
        <v>0</v>
      </c>
      <c r="T787" s="1">
        <f t="shared" si="59"/>
        <v>0</v>
      </c>
      <c r="U787" s="1">
        <f t="shared" si="60"/>
        <v>0</v>
      </c>
    </row>
    <row r="788" spans="1:21" x14ac:dyDescent="0.25">
      <c r="A788" s="1" t="s">
        <v>1682</v>
      </c>
      <c r="B788" s="1" t="s">
        <v>1670</v>
      </c>
      <c r="C788" s="1" t="s">
        <v>41</v>
      </c>
      <c r="D788" s="2">
        <v>44977</v>
      </c>
      <c r="E788" s="2">
        <v>45039</v>
      </c>
      <c r="F788" s="2">
        <v>44977</v>
      </c>
      <c r="G788" s="2">
        <v>45039</v>
      </c>
      <c r="H788" s="1" t="s">
        <v>20</v>
      </c>
      <c r="I788" s="1">
        <v>100</v>
      </c>
      <c r="J788" s="1">
        <v>35369222</v>
      </c>
      <c r="L788" s="1" t="s">
        <v>1683</v>
      </c>
      <c r="M788" s="1" t="s">
        <v>1683</v>
      </c>
      <c r="N788" s="1" t="s">
        <v>22</v>
      </c>
      <c r="O788" s="1">
        <v>1</v>
      </c>
      <c r="P788" s="1" t="b">
        <v>1</v>
      </c>
      <c r="R788" s="1">
        <f t="shared" si="61"/>
        <v>0</v>
      </c>
      <c r="T788" s="1">
        <f t="shared" si="59"/>
        <v>0</v>
      </c>
      <c r="U788" s="1">
        <f t="shared" si="60"/>
        <v>0</v>
      </c>
    </row>
    <row r="789" spans="1:21" x14ac:dyDescent="0.25">
      <c r="A789" s="1" t="s">
        <v>1684</v>
      </c>
      <c r="B789" s="1" t="s">
        <v>1670</v>
      </c>
      <c r="C789" s="1" t="s">
        <v>45</v>
      </c>
      <c r="D789" s="2">
        <v>45039</v>
      </c>
      <c r="E789" s="2">
        <v>45117</v>
      </c>
      <c r="F789" s="2">
        <v>45039</v>
      </c>
      <c r="G789" s="2">
        <v>45117</v>
      </c>
      <c r="H789" s="1" t="s">
        <v>20</v>
      </c>
      <c r="I789" s="1">
        <v>100</v>
      </c>
      <c r="J789" s="1">
        <v>44211528</v>
      </c>
      <c r="L789" s="1" t="s">
        <v>1685</v>
      </c>
      <c r="M789" s="1" t="s">
        <v>1685</v>
      </c>
      <c r="N789" s="1" t="s">
        <v>22</v>
      </c>
      <c r="O789" s="1">
        <v>1</v>
      </c>
      <c r="P789" s="1" t="b">
        <v>1</v>
      </c>
      <c r="R789" s="1">
        <f t="shared" si="61"/>
        <v>0</v>
      </c>
      <c r="T789" s="1">
        <f t="shared" si="59"/>
        <v>0</v>
      </c>
      <c r="U789" s="1">
        <f t="shared" si="60"/>
        <v>0</v>
      </c>
    </row>
    <row r="790" spans="1:21" x14ac:dyDescent="0.25">
      <c r="A790" s="1" t="s">
        <v>1686</v>
      </c>
      <c r="B790" s="1" t="s">
        <v>1670</v>
      </c>
      <c r="C790" s="1" t="s">
        <v>48</v>
      </c>
      <c r="D790" s="2">
        <v>45117</v>
      </c>
      <c r="E790" s="2">
        <v>45140</v>
      </c>
      <c r="F790" s="2">
        <v>45117</v>
      </c>
      <c r="G790" s="2">
        <v>45140</v>
      </c>
      <c r="H790" s="1" t="s">
        <v>20</v>
      </c>
      <c r="I790" s="1">
        <v>100</v>
      </c>
      <c r="J790" s="1">
        <v>13263458</v>
      </c>
      <c r="L790" s="1" t="s">
        <v>1687</v>
      </c>
      <c r="M790" s="1" t="s">
        <v>1687</v>
      </c>
      <c r="N790" s="1" t="s">
        <v>22</v>
      </c>
      <c r="O790" s="1">
        <v>1</v>
      </c>
      <c r="P790" s="1" t="b">
        <v>1</v>
      </c>
      <c r="R790" s="1">
        <f t="shared" si="61"/>
        <v>0</v>
      </c>
      <c r="T790" s="1">
        <f t="shared" si="59"/>
        <v>0</v>
      </c>
      <c r="U790" s="1">
        <f t="shared" si="60"/>
        <v>0</v>
      </c>
    </row>
    <row r="791" spans="1:21" x14ac:dyDescent="0.25">
      <c r="A791" s="1" t="s">
        <v>1688</v>
      </c>
      <c r="B791" s="1" t="s">
        <v>1670</v>
      </c>
      <c r="C791" s="1" t="s">
        <v>51</v>
      </c>
      <c r="D791" s="2">
        <v>45140</v>
      </c>
      <c r="E791" s="2">
        <v>45155</v>
      </c>
      <c r="F791" s="2">
        <v>45140</v>
      </c>
      <c r="G791" s="2">
        <v>45155</v>
      </c>
      <c r="H791" s="1" t="s">
        <v>20</v>
      </c>
      <c r="I791" s="1">
        <v>100</v>
      </c>
      <c r="J791" s="1">
        <v>8842305</v>
      </c>
      <c r="L791" s="1" t="s">
        <v>1689</v>
      </c>
      <c r="M791" s="1" t="s">
        <v>1689</v>
      </c>
      <c r="N791" s="1" t="s">
        <v>22</v>
      </c>
      <c r="O791" s="1">
        <v>1</v>
      </c>
      <c r="P791" s="1" t="b">
        <v>1</v>
      </c>
      <c r="R791" s="1">
        <f t="shared" si="61"/>
        <v>0</v>
      </c>
      <c r="T791" s="1">
        <f t="shared" si="59"/>
        <v>0</v>
      </c>
      <c r="U791" s="1">
        <f t="shared" si="60"/>
        <v>0</v>
      </c>
    </row>
    <row r="792" spans="1:21" x14ac:dyDescent="0.25">
      <c r="A792" s="1" t="s">
        <v>1690</v>
      </c>
      <c r="B792" s="1" t="s">
        <v>1691</v>
      </c>
      <c r="C792" s="1" t="s">
        <v>19</v>
      </c>
      <c r="D792" s="2">
        <v>44737</v>
      </c>
      <c r="E792" s="2">
        <v>44801</v>
      </c>
      <c r="F792" s="2">
        <v>44737</v>
      </c>
      <c r="G792" s="2">
        <v>44801</v>
      </c>
      <c r="H792" s="1" t="s">
        <v>20</v>
      </c>
      <c r="I792" s="1">
        <v>100</v>
      </c>
      <c r="J792" s="1">
        <v>3859696</v>
      </c>
      <c r="L792" s="1" t="s">
        <v>1692</v>
      </c>
      <c r="M792" s="1" t="s">
        <v>1692</v>
      </c>
      <c r="N792" s="1" t="s">
        <v>22</v>
      </c>
      <c r="O792" s="1">
        <v>1</v>
      </c>
      <c r="P792" s="1" t="b">
        <v>1</v>
      </c>
      <c r="R792" s="1">
        <f t="shared" si="61"/>
        <v>0</v>
      </c>
      <c r="T792" s="1">
        <f t="shared" si="59"/>
        <v>0</v>
      </c>
      <c r="U792" s="1">
        <f t="shared" si="60"/>
        <v>0</v>
      </c>
    </row>
    <row r="793" spans="1:21" x14ac:dyDescent="0.25">
      <c r="A793" s="1" t="s">
        <v>1693</v>
      </c>
      <c r="B793" s="1" t="s">
        <v>1691</v>
      </c>
      <c r="C793" s="1" t="s">
        <v>24</v>
      </c>
      <c r="D793" s="2">
        <v>44801</v>
      </c>
      <c r="E793" s="2">
        <v>44930</v>
      </c>
      <c r="F793" s="2">
        <v>44801</v>
      </c>
      <c r="G793" s="2">
        <v>44930</v>
      </c>
      <c r="H793" s="1" t="s">
        <v>20</v>
      </c>
      <c r="I793" s="1">
        <v>100</v>
      </c>
      <c r="J793" s="1">
        <v>7719393</v>
      </c>
      <c r="L793" s="1" t="s">
        <v>1694</v>
      </c>
      <c r="M793" s="1" t="s">
        <v>1694</v>
      </c>
      <c r="N793" s="1" t="s">
        <v>22</v>
      </c>
      <c r="O793" s="1">
        <v>1</v>
      </c>
      <c r="P793" s="1" t="b">
        <v>1</v>
      </c>
      <c r="R793" s="1">
        <f t="shared" si="61"/>
        <v>0</v>
      </c>
      <c r="T793" s="1">
        <f t="shared" si="59"/>
        <v>0</v>
      </c>
      <c r="U793" s="1">
        <f t="shared" si="60"/>
        <v>0</v>
      </c>
    </row>
    <row r="794" spans="1:21" x14ac:dyDescent="0.25">
      <c r="A794" s="1" t="s">
        <v>1695</v>
      </c>
      <c r="B794" s="1" t="s">
        <v>1691</v>
      </c>
      <c r="C794" s="1" t="s">
        <v>27</v>
      </c>
      <c r="D794" s="2">
        <v>44930</v>
      </c>
      <c r="E794" s="2">
        <v>45084</v>
      </c>
      <c r="F794" s="2">
        <v>44930</v>
      </c>
      <c r="G794" s="2">
        <v>45084</v>
      </c>
      <c r="H794" s="1" t="s">
        <v>20</v>
      </c>
      <c r="I794" s="1">
        <v>100</v>
      </c>
      <c r="J794" s="1">
        <v>9263271</v>
      </c>
      <c r="L794" s="1" t="s">
        <v>1696</v>
      </c>
      <c r="M794" s="1" t="s">
        <v>1696</v>
      </c>
      <c r="N794" s="1" t="s">
        <v>22</v>
      </c>
      <c r="O794" s="1">
        <v>1</v>
      </c>
      <c r="P794" s="1" t="b">
        <v>1</v>
      </c>
      <c r="Q794" s="1" t="s">
        <v>29</v>
      </c>
      <c r="R794" s="1">
        <f t="shared" si="61"/>
        <v>0</v>
      </c>
      <c r="T794" s="1">
        <f t="shared" si="59"/>
        <v>0</v>
      </c>
      <c r="U794" s="1">
        <f t="shared" si="60"/>
        <v>0</v>
      </c>
    </row>
    <row r="795" spans="1:21" x14ac:dyDescent="0.25">
      <c r="A795" s="1" t="s">
        <v>1697</v>
      </c>
      <c r="B795" s="1" t="s">
        <v>1691</v>
      </c>
      <c r="C795" s="1" t="s">
        <v>31</v>
      </c>
      <c r="D795" s="2">
        <v>45084</v>
      </c>
      <c r="E795" s="2">
        <v>45277</v>
      </c>
      <c r="F795" s="2">
        <v>45084</v>
      </c>
      <c r="G795" s="2">
        <v>45277</v>
      </c>
      <c r="H795" s="1" t="s">
        <v>20</v>
      </c>
      <c r="I795" s="1">
        <v>100</v>
      </c>
      <c r="J795" s="1">
        <v>11579089</v>
      </c>
      <c r="L795" s="1" t="s">
        <v>1698</v>
      </c>
      <c r="M795" s="1" t="s">
        <v>1698</v>
      </c>
      <c r="N795" s="1" t="s">
        <v>22</v>
      </c>
      <c r="O795" s="1">
        <v>1</v>
      </c>
      <c r="P795" s="1" t="b">
        <v>1</v>
      </c>
      <c r="R795" s="1">
        <f t="shared" si="61"/>
        <v>0</v>
      </c>
      <c r="T795" s="1">
        <f t="shared" si="59"/>
        <v>0</v>
      </c>
      <c r="U795" s="1">
        <f t="shared" si="60"/>
        <v>0</v>
      </c>
    </row>
    <row r="796" spans="1:21" x14ac:dyDescent="0.25">
      <c r="A796" s="1" t="s">
        <v>1699</v>
      </c>
      <c r="B796" s="1" t="s">
        <v>1691</v>
      </c>
      <c r="C796" s="1" t="s">
        <v>34</v>
      </c>
      <c r="D796" s="2">
        <v>45277</v>
      </c>
      <c r="E796" s="2">
        <v>45599</v>
      </c>
      <c r="F796" s="2">
        <v>45277</v>
      </c>
      <c r="G796" s="2">
        <v>45599</v>
      </c>
      <c r="H796" s="1" t="s">
        <v>20</v>
      </c>
      <c r="I796" s="1">
        <v>100</v>
      </c>
      <c r="J796" s="1">
        <v>19298483</v>
      </c>
      <c r="L796" s="1" t="s">
        <v>1700</v>
      </c>
      <c r="M796" s="1" t="s">
        <v>1700</v>
      </c>
      <c r="N796" s="1" t="s">
        <v>22</v>
      </c>
      <c r="O796" s="1">
        <v>1</v>
      </c>
      <c r="P796" s="1" t="b">
        <v>1</v>
      </c>
      <c r="Q796" s="1" t="s">
        <v>29</v>
      </c>
      <c r="R796" s="1">
        <f t="shared" si="61"/>
        <v>0</v>
      </c>
      <c r="T796" s="1">
        <f t="shared" si="59"/>
        <v>0</v>
      </c>
      <c r="U796" s="1">
        <f t="shared" si="60"/>
        <v>0</v>
      </c>
    </row>
    <row r="797" spans="1:21" x14ac:dyDescent="0.25">
      <c r="A797" s="1" t="s">
        <v>1701</v>
      </c>
      <c r="B797" s="1" t="s">
        <v>1691</v>
      </c>
      <c r="C797" s="1" t="s">
        <v>37</v>
      </c>
      <c r="D797" s="2">
        <v>45599</v>
      </c>
      <c r="E797" s="2">
        <v>45728</v>
      </c>
      <c r="F797" s="2">
        <v>45599</v>
      </c>
      <c r="G797" s="2">
        <v>45728</v>
      </c>
      <c r="H797" s="1" t="s">
        <v>20</v>
      </c>
      <c r="I797" s="1">
        <v>100</v>
      </c>
      <c r="J797" s="1">
        <v>7719393</v>
      </c>
      <c r="L797" s="1" t="s">
        <v>1702</v>
      </c>
      <c r="M797" s="1" t="s">
        <v>1702</v>
      </c>
      <c r="N797" s="1" t="s">
        <v>22</v>
      </c>
      <c r="O797" s="1">
        <v>1</v>
      </c>
      <c r="P797" s="1" t="b">
        <v>1</v>
      </c>
      <c r="R797" s="1">
        <f t="shared" si="61"/>
        <v>0</v>
      </c>
      <c r="T797" s="1">
        <f t="shared" si="59"/>
        <v>0</v>
      </c>
      <c r="U797" s="1">
        <f t="shared" si="60"/>
        <v>0</v>
      </c>
    </row>
    <row r="798" spans="1:21" x14ac:dyDescent="0.25">
      <c r="A798" s="1" t="s">
        <v>1703</v>
      </c>
      <c r="B798" s="1" t="s">
        <v>1691</v>
      </c>
      <c r="C798" s="1" t="s">
        <v>41</v>
      </c>
      <c r="D798" s="2">
        <v>45728</v>
      </c>
      <c r="E798" s="2">
        <v>45831</v>
      </c>
      <c r="F798" s="2">
        <v>45728</v>
      </c>
      <c r="G798" s="2">
        <v>45831</v>
      </c>
      <c r="H798" s="1" t="s">
        <v>20</v>
      </c>
      <c r="I798" s="1">
        <v>100</v>
      </c>
      <c r="J798" s="1">
        <v>6175514</v>
      </c>
      <c r="L798" s="1" t="s">
        <v>1704</v>
      </c>
      <c r="M798" s="1" t="s">
        <v>1704</v>
      </c>
      <c r="N798" s="1" t="s">
        <v>22</v>
      </c>
      <c r="O798" s="1">
        <v>1</v>
      </c>
      <c r="P798" s="1" t="b">
        <v>1</v>
      </c>
      <c r="R798" s="1">
        <f t="shared" si="61"/>
        <v>0</v>
      </c>
      <c r="T798" s="1">
        <f t="shared" si="59"/>
        <v>0</v>
      </c>
      <c r="U798" s="1">
        <f t="shared" si="60"/>
        <v>0</v>
      </c>
    </row>
    <row r="799" spans="1:21" x14ac:dyDescent="0.25">
      <c r="A799" s="1" t="s">
        <v>1705</v>
      </c>
      <c r="B799" s="1" t="s">
        <v>1691</v>
      </c>
      <c r="C799" s="1" t="s">
        <v>45</v>
      </c>
      <c r="D799" s="2">
        <v>45831</v>
      </c>
      <c r="E799" s="2">
        <v>45960</v>
      </c>
      <c r="F799" s="2">
        <v>45831</v>
      </c>
      <c r="G799" s="2">
        <v>45960</v>
      </c>
      <c r="H799" s="1" t="s">
        <v>20</v>
      </c>
      <c r="I799" s="1">
        <v>100</v>
      </c>
      <c r="J799" s="1">
        <v>7719393</v>
      </c>
      <c r="L799" s="1" t="s">
        <v>1706</v>
      </c>
      <c r="M799" s="1" t="s">
        <v>1706</v>
      </c>
      <c r="N799" s="1" t="s">
        <v>22</v>
      </c>
      <c r="O799" s="1">
        <v>1</v>
      </c>
      <c r="P799" s="1" t="b">
        <v>1</v>
      </c>
      <c r="R799" s="1">
        <f t="shared" si="61"/>
        <v>0</v>
      </c>
      <c r="T799" s="1">
        <f t="shared" si="59"/>
        <v>0</v>
      </c>
      <c r="U799" s="1">
        <f t="shared" si="60"/>
        <v>0</v>
      </c>
    </row>
    <row r="800" spans="1:21" x14ac:dyDescent="0.25">
      <c r="A800" s="1" t="s">
        <v>1707</v>
      </c>
      <c r="B800" s="1" t="s">
        <v>1691</v>
      </c>
      <c r="C800" s="1" t="s">
        <v>48</v>
      </c>
      <c r="D800" s="2">
        <v>45960</v>
      </c>
      <c r="E800" s="2">
        <v>45998</v>
      </c>
      <c r="F800" s="2">
        <v>45960</v>
      </c>
      <c r="G800" s="2">
        <v>45998</v>
      </c>
      <c r="H800" s="1" t="s">
        <v>20</v>
      </c>
      <c r="I800" s="1">
        <v>100</v>
      </c>
      <c r="J800" s="1">
        <v>2315817</v>
      </c>
      <c r="L800" s="1" t="s">
        <v>1708</v>
      </c>
      <c r="M800" s="1" t="s">
        <v>1708</v>
      </c>
      <c r="N800" s="1" t="s">
        <v>22</v>
      </c>
      <c r="O800" s="1">
        <v>1</v>
      </c>
      <c r="P800" s="1" t="b">
        <v>1</v>
      </c>
      <c r="R800" s="1">
        <f t="shared" si="61"/>
        <v>0</v>
      </c>
      <c r="T800" s="1">
        <f t="shared" si="59"/>
        <v>0</v>
      </c>
      <c r="U800" s="1">
        <f t="shared" si="60"/>
        <v>0</v>
      </c>
    </row>
    <row r="801" spans="1:21" x14ac:dyDescent="0.25">
      <c r="A801" s="1" t="s">
        <v>1709</v>
      </c>
      <c r="B801" s="1" t="s">
        <v>1691</v>
      </c>
      <c r="C801" s="1" t="s">
        <v>51</v>
      </c>
      <c r="D801" s="2">
        <v>45998</v>
      </c>
      <c r="E801" s="2">
        <v>46023</v>
      </c>
      <c r="F801" s="2">
        <v>45998</v>
      </c>
      <c r="G801" s="2">
        <v>46023</v>
      </c>
      <c r="H801" s="1" t="s">
        <v>20</v>
      </c>
      <c r="I801" s="1">
        <v>100</v>
      </c>
      <c r="J801" s="1">
        <v>1543878</v>
      </c>
      <c r="L801" s="1" t="s">
        <v>1710</v>
      </c>
      <c r="M801" s="1" t="s">
        <v>1710</v>
      </c>
      <c r="N801" s="1" t="s">
        <v>22</v>
      </c>
      <c r="O801" s="1">
        <v>1</v>
      </c>
      <c r="P801" s="1" t="b">
        <v>1</v>
      </c>
      <c r="R801" s="1">
        <f t="shared" si="61"/>
        <v>0</v>
      </c>
      <c r="T801" s="1">
        <f t="shared" si="59"/>
        <v>0</v>
      </c>
      <c r="U801" s="1">
        <f t="shared" si="60"/>
        <v>0</v>
      </c>
    </row>
    <row r="802" spans="1:21" x14ac:dyDescent="0.25">
      <c r="A802" s="1" t="s">
        <v>1711</v>
      </c>
      <c r="B802" s="1" t="s">
        <v>1712</v>
      </c>
      <c r="C802" s="1" t="s">
        <v>19</v>
      </c>
      <c r="D802" s="2">
        <v>45558</v>
      </c>
      <c r="E802" s="2">
        <v>45591</v>
      </c>
      <c r="F802" s="2">
        <v>45558</v>
      </c>
      <c r="G802" s="2">
        <v>45591</v>
      </c>
      <c r="H802" s="1" t="s">
        <v>20</v>
      </c>
      <c r="I802" s="1">
        <v>100</v>
      </c>
      <c r="J802" s="1">
        <v>1861589</v>
      </c>
      <c r="L802" s="1" t="s">
        <v>1713</v>
      </c>
      <c r="M802" s="1" t="s">
        <v>1713</v>
      </c>
      <c r="N802" s="1" t="s">
        <v>22</v>
      </c>
      <c r="O802" s="1">
        <v>1</v>
      </c>
      <c r="P802" s="1" t="b">
        <v>1</v>
      </c>
      <c r="R802" s="1">
        <f t="shared" si="61"/>
        <v>0</v>
      </c>
      <c r="T802" s="1">
        <f t="shared" si="59"/>
        <v>0</v>
      </c>
      <c r="U802" s="1">
        <f t="shared" si="60"/>
        <v>0</v>
      </c>
    </row>
    <row r="803" spans="1:21" x14ac:dyDescent="0.25">
      <c r="A803" s="1" t="s">
        <v>1714</v>
      </c>
      <c r="B803" s="1" t="s">
        <v>1712</v>
      </c>
      <c r="C803" s="1" t="s">
        <v>24</v>
      </c>
      <c r="D803" s="2">
        <v>45591</v>
      </c>
      <c r="E803" s="2">
        <v>45657</v>
      </c>
      <c r="F803" s="2">
        <v>45591</v>
      </c>
      <c r="G803" s="2">
        <v>45657</v>
      </c>
      <c r="H803" s="1" t="s">
        <v>20</v>
      </c>
      <c r="I803" s="1">
        <v>100</v>
      </c>
      <c r="J803" s="1">
        <v>3723178</v>
      </c>
      <c r="L803" s="1" t="s">
        <v>1715</v>
      </c>
      <c r="M803" s="1" t="s">
        <v>1715</v>
      </c>
      <c r="N803" s="1" t="s">
        <v>22</v>
      </c>
      <c r="O803" s="1">
        <v>1</v>
      </c>
      <c r="P803" s="1" t="b">
        <v>1</v>
      </c>
      <c r="R803" s="1">
        <f t="shared" si="61"/>
        <v>0</v>
      </c>
      <c r="T803" s="1">
        <f t="shared" si="59"/>
        <v>0</v>
      </c>
      <c r="U803" s="1">
        <f t="shared" si="60"/>
        <v>0</v>
      </c>
    </row>
    <row r="804" spans="1:21" x14ac:dyDescent="0.25">
      <c r="A804" s="1" t="s">
        <v>1716</v>
      </c>
      <c r="B804" s="1" t="s">
        <v>1712</v>
      </c>
      <c r="C804" s="1" t="s">
        <v>27</v>
      </c>
      <c r="D804" s="2">
        <v>45657</v>
      </c>
      <c r="E804" s="2">
        <v>45736</v>
      </c>
      <c r="F804" s="2">
        <v>45657</v>
      </c>
      <c r="G804" s="2">
        <v>45736</v>
      </c>
      <c r="H804" s="1" t="s">
        <v>20</v>
      </c>
      <c r="I804" s="1">
        <v>100</v>
      </c>
      <c r="J804" s="1">
        <v>4467814</v>
      </c>
      <c r="L804" s="1" t="s">
        <v>1717</v>
      </c>
      <c r="M804" s="1" t="s">
        <v>1717</v>
      </c>
      <c r="N804" s="1" t="s">
        <v>22</v>
      </c>
      <c r="O804" s="1">
        <v>1</v>
      </c>
      <c r="P804" s="1" t="b">
        <v>1</v>
      </c>
      <c r="Q804" s="1" t="s">
        <v>29</v>
      </c>
      <c r="R804" s="1">
        <f t="shared" si="61"/>
        <v>0</v>
      </c>
      <c r="T804" s="1">
        <f t="shared" si="59"/>
        <v>0</v>
      </c>
      <c r="U804" s="1">
        <f t="shared" si="60"/>
        <v>0</v>
      </c>
    </row>
    <row r="805" spans="1:21" x14ac:dyDescent="0.25">
      <c r="A805" s="1" t="s">
        <v>1718</v>
      </c>
      <c r="B805" s="1" t="s">
        <v>1712</v>
      </c>
      <c r="C805" s="1" t="s">
        <v>31</v>
      </c>
      <c r="D805" s="2">
        <v>45736</v>
      </c>
      <c r="E805" s="2">
        <v>45835</v>
      </c>
      <c r="F805" s="2">
        <v>45736</v>
      </c>
      <c r="G805" s="2">
        <v>45835</v>
      </c>
      <c r="H805" s="1" t="s">
        <v>20</v>
      </c>
      <c r="I805" s="1">
        <v>100</v>
      </c>
      <c r="J805" s="1">
        <v>5584767</v>
      </c>
      <c r="L805" s="1" t="s">
        <v>1719</v>
      </c>
      <c r="M805" s="1" t="s">
        <v>1719</v>
      </c>
      <c r="N805" s="1" t="s">
        <v>22</v>
      </c>
      <c r="O805" s="1">
        <v>1</v>
      </c>
      <c r="P805" s="1" t="b">
        <v>1</v>
      </c>
      <c r="R805" s="1">
        <f t="shared" si="61"/>
        <v>0</v>
      </c>
      <c r="T805" s="1">
        <f t="shared" si="59"/>
        <v>0</v>
      </c>
      <c r="U805" s="1">
        <f t="shared" si="60"/>
        <v>0</v>
      </c>
    </row>
    <row r="806" spans="1:21" x14ac:dyDescent="0.25">
      <c r="A806" s="1" t="s">
        <v>1720</v>
      </c>
      <c r="B806" s="1" t="s">
        <v>1712</v>
      </c>
      <c r="C806" s="1" t="s">
        <v>34</v>
      </c>
      <c r="D806" s="2">
        <v>45835</v>
      </c>
      <c r="E806" s="2">
        <v>46000</v>
      </c>
      <c r="F806" s="2">
        <v>45835</v>
      </c>
      <c r="G806" s="2">
        <v>46000</v>
      </c>
      <c r="H806" s="1" t="s">
        <v>20</v>
      </c>
      <c r="I806" s="1">
        <v>100</v>
      </c>
      <c r="J806" s="1">
        <v>9307946</v>
      </c>
      <c r="L806" s="1" t="s">
        <v>1721</v>
      </c>
      <c r="M806" s="1" t="s">
        <v>1721</v>
      </c>
      <c r="N806" s="1" t="s">
        <v>22</v>
      </c>
      <c r="O806" s="1">
        <v>1</v>
      </c>
      <c r="P806" s="1" t="b">
        <v>1</v>
      </c>
      <c r="Q806" s="1" t="s">
        <v>29</v>
      </c>
      <c r="R806" s="1">
        <f t="shared" si="61"/>
        <v>0</v>
      </c>
      <c r="T806" s="1">
        <f t="shared" si="59"/>
        <v>0</v>
      </c>
      <c r="U806" s="1">
        <f t="shared" si="60"/>
        <v>0</v>
      </c>
    </row>
    <row r="807" spans="1:21" x14ac:dyDescent="0.25">
      <c r="A807" s="1" t="s">
        <v>1722</v>
      </c>
      <c r="B807" s="1" t="s">
        <v>1712</v>
      </c>
      <c r="C807" s="1" t="s">
        <v>37</v>
      </c>
      <c r="D807" s="2">
        <v>46000</v>
      </c>
      <c r="E807" s="2">
        <v>46066</v>
      </c>
      <c r="F807" s="2">
        <v>46000</v>
      </c>
      <c r="G807" s="2">
        <v>46066</v>
      </c>
      <c r="H807" s="1" t="s">
        <v>20</v>
      </c>
      <c r="I807" s="1">
        <v>100</v>
      </c>
      <c r="J807" s="1">
        <v>3723178</v>
      </c>
      <c r="L807" s="1" t="s">
        <v>1723</v>
      </c>
      <c r="M807" s="1" t="s">
        <v>1723</v>
      </c>
      <c r="N807" s="1" t="s">
        <v>22</v>
      </c>
      <c r="O807" s="1">
        <v>1</v>
      </c>
      <c r="P807" s="1" t="b">
        <v>1</v>
      </c>
      <c r="R807" s="1">
        <f t="shared" si="61"/>
        <v>0</v>
      </c>
      <c r="T807" s="1">
        <f t="shared" si="59"/>
        <v>0</v>
      </c>
      <c r="U807" s="1">
        <f t="shared" si="60"/>
        <v>0</v>
      </c>
    </row>
    <row r="808" spans="1:21" x14ac:dyDescent="0.25">
      <c r="A808" s="1" t="s">
        <v>1724</v>
      </c>
      <c r="B808" s="1" t="s">
        <v>1712</v>
      </c>
      <c r="C808" s="1" t="s">
        <v>41</v>
      </c>
      <c r="D808" s="2">
        <v>46066</v>
      </c>
      <c r="E808" s="2">
        <v>46118</v>
      </c>
      <c r="F808" s="2">
        <v>46066</v>
      </c>
      <c r="H808" s="1" t="s">
        <v>38</v>
      </c>
      <c r="I808" s="1">
        <v>82</v>
      </c>
      <c r="J808" s="1">
        <v>2978542</v>
      </c>
      <c r="L808" s="1" t="s">
        <v>1725</v>
      </c>
      <c r="M808" s="1" t="s">
        <v>1725</v>
      </c>
      <c r="N808" s="1" t="s">
        <v>22</v>
      </c>
      <c r="O808" s="1">
        <v>1</v>
      </c>
      <c r="P808" s="1" t="b">
        <v>1</v>
      </c>
      <c r="S808" s="1">
        <f>R$7-E808</f>
        <v>176</v>
      </c>
      <c r="T808" s="1">
        <f t="shared" si="59"/>
        <v>1</v>
      </c>
      <c r="U808" s="1">
        <f t="shared" si="60"/>
        <v>176</v>
      </c>
    </row>
    <row r="809" spans="1:21" x14ac:dyDescent="0.25">
      <c r="A809" s="1" t="s">
        <v>1726</v>
      </c>
      <c r="B809" s="1" t="s">
        <v>1712</v>
      </c>
      <c r="C809" s="1" t="s">
        <v>45</v>
      </c>
      <c r="D809" s="2">
        <v>46118</v>
      </c>
      <c r="E809" s="2">
        <v>46184</v>
      </c>
      <c r="H809" s="1" t="s">
        <v>42</v>
      </c>
      <c r="I809" s="1">
        <v>0</v>
      </c>
      <c r="J809" s="1">
        <v>3723178</v>
      </c>
      <c r="L809" s="1" t="s">
        <v>1727</v>
      </c>
      <c r="M809" s="1" t="s">
        <v>1727</v>
      </c>
      <c r="N809" s="1" t="s">
        <v>22</v>
      </c>
      <c r="O809" s="1">
        <v>1</v>
      </c>
      <c r="P809" s="1" t="b">
        <v>1</v>
      </c>
      <c r="S809" s="1">
        <f>R$7-E809</f>
        <v>110</v>
      </c>
      <c r="T809" s="1">
        <f t="shared" si="59"/>
        <v>1</v>
      </c>
      <c r="U809" s="1">
        <f t="shared" si="60"/>
        <v>110</v>
      </c>
    </row>
    <row r="810" spans="1:21" x14ac:dyDescent="0.25">
      <c r="A810" s="1" t="s">
        <v>1728</v>
      </c>
      <c r="B810" s="1" t="s">
        <v>1712</v>
      </c>
      <c r="C810" s="1" t="s">
        <v>48</v>
      </c>
      <c r="D810" s="2">
        <v>46184</v>
      </c>
      <c r="E810" s="2">
        <v>46203</v>
      </c>
      <c r="H810" s="1" t="s">
        <v>42</v>
      </c>
      <c r="I810" s="1">
        <v>0</v>
      </c>
      <c r="J810" s="1">
        <v>1116953</v>
      </c>
      <c r="L810" s="1" t="s">
        <v>1729</v>
      </c>
      <c r="M810" s="1" t="s">
        <v>1729</v>
      </c>
      <c r="N810" s="1" t="s">
        <v>22</v>
      </c>
      <c r="O810" s="1">
        <v>1</v>
      </c>
      <c r="P810" s="1" t="b">
        <v>1</v>
      </c>
      <c r="S810" s="1">
        <f>R$7-E810</f>
        <v>91</v>
      </c>
      <c r="T810" s="1">
        <f t="shared" si="59"/>
        <v>1</v>
      </c>
      <c r="U810" s="1">
        <f t="shared" si="60"/>
        <v>91</v>
      </c>
    </row>
    <row r="811" spans="1:21" x14ac:dyDescent="0.25">
      <c r="A811" s="1" t="s">
        <v>1730</v>
      </c>
      <c r="B811" s="1" t="s">
        <v>1712</v>
      </c>
      <c r="C811" s="1" t="s">
        <v>51</v>
      </c>
      <c r="D811" s="2">
        <v>46203</v>
      </c>
      <c r="E811" s="2">
        <v>46216</v>
      </c>
      <c r="H811" s="1" t="s">
        <v>42</v>
      </c>
      <c r="I811" s="1">
        <v>0</v>
      </c>
      <c r="J811" s="1">
        <v>744635</v>
      </c>
      <c r="L811" s="1" t="s">
        <v>1731</v>
      </c>
      <c r="M811" s="1" t="s">
        <v>1731</v>
      </c>
      <c r="N811" s="1" t="s">
        <v>22</v>
      </c>
      <c r="O811" s="1">
        <v>1</v>
      </c>
      <c r="P811" s="1" t="b">
        <v>1</v>
      </c>
      <c r="S811" s="1">
        <f>R$7-E811</f>
        <v>78</v>
      </c>
      <c r="T811" s="1">
        <f t="shared" si="59"/>
        <v>1</v>
      </c>
      <c r="U811" s="1">
        <f t="shared" si="60"/>
        <v>78</v>
      </c>
    </row>
    <row r="812" spans="1:21" x14ac:dyDescent="0.25">
      <c r="A812" s="1" t="s">
        <v>1732</v>
      </c>
      <c r="B812" s="1" t="s">
        <v>1733</v>
      </c>
      <c r="C812" s="1" t="s">
        <v>19</v>
      </c>
      <c r="D812" s="2">
        <v>45386</v>
      </c>
      <c r="E812" s="2">
        <v>45414</v>
      </c>
      <c r="F812" s="2">
        <v>45386</v>
      </c>
      <c r="G812" s="2">
        <v>45414</v>
      </c>
      <c r="H812" s="1" t="s">
        <v>20</v>
      </c>
      <c r="I812" s="1">
        <v>100</v>
      </c>
      <c r="J812" s="1">
        <v>9674513</v>
      </c>
      <c r="L812" s="1" t="s">
        <v>1734</v>
      </c>
      <c r="M812" s="1" t="s">
        <v>1734</v>
      </c>
      <c r="N812" s="1" t="s">
        <v>22</v>
      </c>
      <c r="O812" s="1">
        <v>1</v>
      </c>
      <c r="P812" s="1" t="b">
        <v>1</v>
      </c>
      <c r="R812" s="1">
        <f t="shared" ref="R812:R827" si="62">G812-E812</f>
        <v>0</v>
      </c>
      <c r="T812" s="1">
        <f t="shared" si="59"/>
        <v>0</v>
      </c>
      <c r="U812" s="1">
        <f t="shared" si="60"/>
        <v>0</v>
      </c>
    </row>
    <row r="813" spans="1:21" x14ac:dyDescent="0.25">
      <c r="A813" s="1" t="s">
        <v>1735</v>
      </c>
      <c r="B813" s="1" t="s">
        <v>1733</v>
      </c>
      <c r="C813" s="1" t="s">
        <v>24</v>
      </c>
      <c r="D813" s="2">
        <v>45414</v>
      </c>
      <c r="E813" s="2">
        <v>45471</v>
      </c>
      <c r="F813" s="2">
        <v>45414</v>
      </c>
      <c r="G813" s="2">
        <v>45471</v>
      </c>
      <c r="H813" s="1" t="s">
        <v>20</v>
      </c>
      <c r="I813" s="1">
        <v>100</v>
      </c>
      <c r="J813" s="1">
        <v>19349026</v>
      </c>
      <c r="L813" s="1" t="s">
        <v>1736</v>
      </c>
      <c r="M813" s="1" t="s">
        <v>1736</v>
      </c>
      <c r="N813" s="1" t="s">
        <v>22</v>
      </c>
      <c r="O813" s="1">
        <v>1</v>
      </c>
      <c r="P813" s="1" t="b">
        <v>1</v>
      </c>
      <c r="R813" s="1">
        <f t="shared" si="62"/>
        <v>0</v>
      </c>
      <c r="T813" s="1">
        <f t="shared" si="59"/>
        <v>0</v>
      </c>
      <c r="U813" s="1">
        <f t="shared" si="60"/>
        <v>0</v>
      </c>
    </row>
    <row r="814" spans="1:21" x14ac:dyDescent="0.25">
      <c r="A814" s="1" t="s">
        <v>1737</v>
      </c>
      <c r="B814" s="1" t="s">
        <v>1733</v>
      </c>
      <c r="C814" s="1" t="s">
        <v>27</v>
      </c>
      <c r="D814" s="2">
        <v>45471</v>
      </c>
      <c r="E814" s="2">
        <v>45539</v>
      </c>
      <c r="F814" s="2">
        <v>45471</v>
      </c>
      <c r="G814" s="2">
        <v>45539</v>
      </c>
      <c r="H814" s="1" t="s">
        <v>20</v>
      </c>
      <c r="I814" s="1">
        <v>100</v>
      </c>
      <c r="J814" s="1">
        <v>23218832</v>
      </c>
      <c r="L814" s="1" t="s">
        <v>1738</v>
      </c>
      <c r="M814" s="1" t="s">
        <v>1738</v>
      </c>
      <c r="N814" s="1" t="s">
        <v>22</v>
      </c>
      <c r="O814" s="1">
        <v>1</v>
      </c>
      <c r="P814" s="1" t="b">
        <v>1</v>
      </c>
      <c r="Q814" s="1" t="s">
        <v>29</v>
      </c>
      <c r="R814" s="1">
        <f t="shared" si="62"/>
        <v>0</v>
      </c>
      <c r="T814" s="1">
        <f t="shared" si="59"/>
        <v>0</v>
      </c>
      <c r="U814" s="1">
        <f t="shared" si="60"/>
        <v>0</v>
      </c>
    </row>
    <row r="815" spans="1:21" x14ac:dyDescent="0.25">
      <c r="A815" s="1" t="s">
        <v>1739</v>
      </c>
      <c r="B815" s="1" t="s">
        <v>1733</v>
      </c>
      <c r="C815" s="1" t="s">
        <v>31</v>
      </c>
      <c r="D815" s="2">
        <v>45539</v>
      </c>
      <c r="E815" s="2">
        <v>45624</v>
      </c>
      <c r="F815" s="2">
        <v>45539</v>
      </c>
      <c r="G815" s="2">
        <v>45624</v>
      </c>
      <c r="H815" s="1" t="s">
        <v>20</v>
      </c>
      <c r="I815" s="1">
        <v>100</v>
      </c>
      <c r="J815" s="1">
        <v>29023540</v>
      </c>
      <c r="L815" s="1" t="s">
        <v>1740</v>
      </c>
      <c r="M815" s="1" t="s">
        <v>1740</v>
      </c>
      <c r="N815" s="1" t="s">
        <v>22</v>
      </c>
      <c r="O815" s="1">
        <v>1</v>
      </c>
      <c r="P815" s="1" t="b">
        <v>1</v>
      </c>
      <c r="R815" s="1">
        <f t="shared" si="62"/>
        <v>0</v>
      </c>
      <c r="T815" s="1">
        <f t="shared" si="59"/>
        <v>0</v>
      </c>
      <c r="U815" s="1">
        <f t="shared" si="60"/>
        <v>0</v>
      </c>
    </row>
    <row r="816" spans="1:21" x14ac:dyDescent="0.25">
      <c r="A816" s="1" t="s">
        <v>1741</v>
      </c>
      <c r="B816" s="1" t="s">
        <v>1733</v>
      </c>
      <c r="C816" s="1" t="s">
        <v>34</v>
      </c>
      <c r="D816" s="2">
        <v>45624</v>
      </c>
      <c r="E816" s="2">
        <v>45766</v>
      </c>
      <c r="F816" s="2">
        <v>45624</v>
      </c>
      <c r="G816" s="2">
        <v>45766</v>
      </c>
      <c r="H816" s="1" t="s">
        <v>20</v>
      </c>
      <c r="I816" s="1">
        <v>100</v>
      </c>
      <c r="J816" s="1">
        <v>48372567</v>
      </c>
      <c r="L816" s="1" t="s">
        <v>1742</v>
      </c>
      <c r="M816" s="1" t="s">
        <v>1742</v>
      </c>
      <c r="N816" s="1" t="s">
        <v>22</v>
      </c>
      <c r="O816" s="1">
        <v>1</v>
      </c>
      <c r="P816" s="1" t="b">
        <v>1</v>
      </c>
      <c r="Q816" s="1" t="s">
        <v>29</v>
      </c>
      <c r="R816" s="1">
        <f t="shared" si="62"/>
        <v>0</v>
      </c>
      <c r="T816" s="1">
        <f t="shared" si="59"/>
        <v>0</v>
      </c>
      <c r="U816" s="1">
        <f t="shared" si="60"/>
        <v>0</v>
      </c>
    </row>
    <row r="817" spans="1:21" x14ac:dyDescent="0.25">
      <c r="A817" s="1" t="s">
        <v>1743</v>
      </c>
      <c r="B817" s="1" t="s">
        <v>1733</v>
      </c>
      <c r="C817" s="1" t="s">
        <v>37</v>
      </c>
      <c r="D817" s="2">
        <v>45766</v>
      </c>
      <c r="E817" s="2">
        <v>45823</v>
      </c>
      <c r="F817" s="2">
        <v>45766</v>
      </c>
      <c r="G817" s="2">
        <v>45823</v>
      </c>
      <c r="H817" s="1" t="s">
        <v>20</v>
      </c>
      <c r="I817" s="1">
        <v>100</v>
      </c>
      <c r="J817" s="1">
        <v>19349026</v>
      </c>
      <c r="L817" s="1" t="s">
        <v>1744</v>
      </c>
      <c r="M817" s="1" t="s">
        <v>1744</v>
      </c>
      <c r="N817" s="1" t="s">
        <v>22</v>
      </c>
      <c r="O817" s="1">
        <v>1</v>
      </c>
      <c r="P817" s="1" t="b">
        <v>1</v>
      </c>
      <c r="R817" s="1">
        <f t="shared" si="62"/>
        <v>0</v>
      </c>
      <c r="T817" s="1">
        <f t="shared" si="59"/>
        <v>0</v>
      </c>
      <c r="U817" s="1">
        <f t="shared" si="60"/>
        <v>0</v>
      </c>
    </row>
    <row r="818" spans="1:21" x14ac:dyDescent="0.25">
      <c r="A818" s="1" t="s">
        <v>1745</v>
      </c>
      <c r="B818" s="1" t="s">
        <v>1733</v>
      </c>
      <c r="C818" s="1" t="s">
        <v>41</v>
      </c>
      <c r="D818" s="2">
        <v>45823</v>
      </c>
      <c r="E818" s="2">
        <v>45868</v>
      </c>
      <c r="F818" s="2">
        <v>45823</v>
      </c>
      <c r="G818" s="2">
        <v>45868</v>
      </c>
      <c r="H818" s="1" t="s">
        <v>20</v>
      </c>
      <c r="I818" s="1">
        <v>100</v>
      </c>
      <c r="J818" s="1">
        <v>15479221</v>
      </c>
      <c r="L818" s="1" t="s">
        <v>1746</v>
      </c>
      <c r="M818" s="1" t="s">
        <v>1746</v>
      </c>
      <c r="N818" s="1" t="s">
        <v>22</v>
      </c>
      <c r="O818" s="1">
        <v>1</v>
      </c>
      <c r="P818" s="1" t="b">
        <v>1</v>
      </c>
      <c r="R818" s="1">
        <f t="shared" si="62"/>
        <v>0</v>
      </c>
      <c r="T818" s="1">
        <f t="shared" si="59"/>
        <v>0</v>
      </c>
      <c r="U818" s="1">
        <f t="shared" si="60"/>
        <v>0</v>
      </c>
    </row>
    <row r="819" spans="1:21" x14ac:dyDescent="0.25">
      <c r="A819" s="1" t="s">
        <v>1747</v>
      </c>
      <c r="B819" s="1" t="s">
        <v>1733</v>
      </c>
      <c r="C819" s="1" t="s">
        <v>45</v>
      </c>
      <c r="D819" s="2">
        <v>45868</v>
      </c>
      <c r="E819" s="2">
        <v>45925</v>
      </c>
      <c r="F819" s="2">
        <v>45868</v>
      </c>
      <c r="G819" s="2">
        <v>45925</v>
      </c>
      <c r="H819" s="1" t="s">
        <v>20</v>
      </c>
      <c r="I819" s="1">
        <v>100</v>
      </c>
      <c r="J819" s="1">
        <v>19349026</v>
      </c>
      <c r="L819" s="1" t="s">
        <v>1748</v>
      </c>
      <c r="M819" s="1" t="s">
        <v>1748</v>
      </c>
      <c r="N819" s="1" t="s">
        <v>22</v>
      </c>
      <c r="O819" s="1">
        <v>1</v>
      </c>
      <c r="P819" s="1" t="b">
        <v>1</v>
      </c>
      <c r="R819" s="1">
        <f t="shared" si="62"/>
        <v>0</v>
      </c>
      <c r="T819" s="1">
        <f t="shared" si="59"/>
        <v>0</v>
      </c>
      <c r="U819" s="1">
        <f t="shared" si="60"/>
        <v>0</v>
      </c>
    </row>
    <row r="820" spans="1:21" x14ac:dyDescent="0.25">
      <c r="A820" s="1" t="s">
        <v>1749</v>
      </c>
      <c r="B820" s="1" t="s">
        <v>1733</v>
      </c>
      <c r="C820" s="1" t="s">
        <v>48</v>
      </c>
      <c r="D820" s="2">
        <v>45925</v>
      </c>
      <c r="E820" s="2">
        <v>45942</v>
      </c>
      <c r="F820" s="2">
        <v>45925</v>
      </c>
      <c r="G820" s="2">
        <v>45942</v>
      </c>
      <c r="H820" s="1" t="s">
        <v>20</v>
      </c>
      <c r="I820" s="1">
        <v>100</v>
      </c>
      <c r="J820" s="1">
        <v>5804708</v>
      </c>
      <c r="L820" s="1" t="s">
        <v>1750</v>
      </c>
      <c r="M820" s="1" t="s">
        <v>1750</v>
      </c>
      <c r="N820" s="1" t="s">
        <v>22</v>
      </c>
      <c r="O820" s="1">
        <v>1</v>
      </c>
      <c r="P820" s="1" t="b">
        <v>1</v>
      </c>
      <c r="R820" s="1">
        <f t="shared" si="62"/>
        <v>0</v>
      </c>
      <c r="T820" s="1">
        <f t="shared" si="59"/>
        <v>0</v>
      </c>
      <c r="U820" s="1">
        <f t="shared" si="60"/>
        <v>0</v>
      </c>
    </row>
    <row r="821" spans="1:21" x14ac:dyDescent="0.25">
      <c r="A821" s="1" t="s">
        <v>1751</v>
      </c>
      <c r="B821" s="1" t="s">
        <v>1733</v>
      </c>
      <c r="C821" s="1" t="s">
        <v>51</v>
      </c>
      <c r="D821" s="2">
        <v>45942</v>
      </c>
      <c r="E821" s="2">
        <v>45953</v>
      </c>
      <c r="F821" s="2">
        <v>45942</v>
      </c>
      <c r="G821" s="2">
        <v>45953</v>
      </c>
      <c r="H821" s="1" t="s">
        <v>20</v>
      </c>
      <c r="I821" s="1">
        <v>100</v>
      </c>
      <c r="J821" s="1">
        <v>3869805</v>
      </c>
      <c r="L821" s="1" t="s">
        <v>1752</v>
      </c>
      <c r="M821" s="1" t="s">
        <v>1752</v>
      </c>
      <c r="N821" s="1" t="s">
        <v>22</v>
      </c>
      <c r="O821" s="1">
        <v>1</v>
      </c>
      <c r="P821" s="1" t="b">
        <v>1</v>
      </c>
      <c r="R821" s="1">
        <f t="shared" si="62"/>
        <v>0</v>
      </c>
      <c r="T821" s="1">
        <f t="shared" si="59"/>
        <v>0</v>
      </c>
      <c r="U821" s="1">
        <f t="shared" si="60"/>
        <v>0</v>
      </c>
    </row>
    <row r="822" spans="1:21" x14ac:dyDescent="0.25">
      <c r="A822" s="1" t="s">
        <v>1753</v>
      </c>
      <c r="B822" s="1" t="s">
        <v>1754</v>
      </c>
      <c r="C822" s="1" t="s">
        <v>19</v>
      </c>
      <c r="D822" s="2">
        <v>45063</v>
      </c>
      <c r="E822" s="2">
        <v>45127</v>
      </c>
      <c r="F822" s="2">
        <v>45063</v>
      </c>
      <c r="G822" s="2">
        <v>45127</v>
      </c>
      <c r="H822" s="1" t="s">
        <v>20</v>
      </c>
      <c r="I822" s="1">
        <v>100</v>
      </c>
      <c r="J822" s="1">
        <v>21046885</v>
      </c>
      <c r="L822" s="1" t="s">
        <v>1755</v>
      </c>
      <c r="M822" s="1" t="s">
        <v>1755</v>
      </c>
      <c r="N822" s="1" t="s">
        <v>22</v>
      </c>
      <c r="O822" s="1">
        <v>1</v>
      </c>
      <c r="P822" s="1" t="b">
        <v>1</v>
      </c>
      <c r="R822" s="1">
        <f t="shared" si="62"/>
        <v>0</v>
      </c>
      <c r="T822" s="1">
        <f t="shared" si="59"/>
        <v>0</v>
      </c>
      <c r="U822" s="1">
        <f t="shared" si="60"/>
        <v>0</v>
      </c>
    </row>
    <row r="823" spans="1:21" x14ac:dyDescent="0.25">
      <c r="A823" s="1" t="s">
        <v>1756</v>
      </c>
      <c r="B823" s="1" t="s">
        <v>1754</v>
      </c>
      <c r="C823" s="1" t="s">
        <v>24</v>
      </c>
      <c r="D823" s="2">
        <v>45127</v>
      </c>
      <c r="E823" s="2">
        <v>45256</v>
      </c>
      <c r="F823" s="2">
        <v>45127</v>
      </c>
      <c r="G823" s="2">
        <v>45256</v>
      </c>
      <c r="H823" s="1" t="s">
        <v>20</v>
      </c>
      <c r="I823" s="1">
        <v>100</v>
      </c>
      <c r="J823" s="1">
        <v>42093771</v>
      </c>
      <c r="L823" s="1" t="s">
        <v>1757</v>
      </c>
      <c r="M823" s="1" t="s">
        <v>1757</v>
      </c>
      <c r="N823" s="1" t="s">
        <v>22</v>
      </c>
      <c r="O823" s="1">
        <v>1</v>
      </c>
      <c r="P823" s="1" t="b">
        <v>1</v>
      </c>
      <c r="R823" s="1">
        <f t="shared" si="62"/>
        <v>0</v>
      </c>
      <c r="T823" s="1">
        <f t="shared" si="59"/>
        <v>0</v>
      </c>
      <c r="U823" s="1">
        <f t="shared" si="60"/>
        <v>0</v>
      </c>
    </row>
    <row r="824" spans="1:21" x14ac:dyDescent="0.25">
      <c r="A824" s="1" t="s">
        <v>1758</v>
      </c>
      <c r="B824" s="1" t="s">
        <v>1754</v>
      </c>
      <c r="C824" s="1" t="s">
        <v>27</v>
      </c>
      <c r="D824" s="2">
        <v>45256</v>
      </c>
      <c r="E824" s="2">
        <v>45410</v>
      </c>
      <c r="F824" s="2">
        <v>45256</v>
      </c>
      <c r="G824" s="2">
        <v>45410</v>
      </c>
      <c r="H824" s="1" t="s">
        <v>20</v>
      </c>
      <c r="I824" s="1">
        <v>100</v>
      </c>
      <c r="J824" s="1">
        <v>50512525</v>
      </c>
      <c r="L824" s="1" t="s">
        <v>1759</v>
      </c>
      <c r="M824" s="1" t="s">
        <v>1759</v>
      </c>
      <c r="N824" s="1" t="s">
        <v>22</v>
      </c>
      <c r="O824" s="1">
        <v>1</v>
      </c>
      <c r="P824" s="1" t="b">
        <v>1</v>
      </c>
      <c r="Q824" s="1" t="s">
        <v>29</v>
      </c>
      <c r="R824" s="1">
        <f t="shared" si="62"/>
        <v>0</v>
      </c>
      <c r="T824" s="1">
        <f t="shared" si="59"/>
        <v>0</v>
      </c>
      <c r="U824" s="1">
        <f t="shared" si="60"/>
        <v>0</v>
      </c>
    </row>
    <row r="825" spans="1:21" x14ac:dyDescent="0.25">
      <c r="A825" s="1" t="s">
        <v>1760</v>
      </c>
      <c r="B825" s="1" t="s">
        <v>1754</v>
      </c>
      <c r="C825" s="1" t="s">
        <v>31</v>
      </c>
      <c r="D825" s="2">
        <v>45410</v>
      </c>
      <c r="E825" s="2">
        <v>45603</v>
      </c>
      <c r="F825" s="2">
        <v>45410</v>
      </c>
      <c r="G825" s="2">
        <v>45603</v>
      </c>
      <c r="H825" s="1" t="s">
        <v>20</v>
      </c>
      <c r="I825" s="1">
        <v>100</v>
      </c>
      <c r="J825" s="1">
        <v>63140657</v>
      </c>
      <c r="L825" s="1" t="s">
        <v>1761</v>
      </c>
      <c r="M825" s="1" t="s">
        <v>1761</v>
      </c>
      <c r="N825" s="1" t="s">
        <v>22</v>
      </c>
      <c r="O825" s="1">
        <v>1</v>
      </c>
      <c r="P825" s="1" t="b">
        <v>1</v>
      </c>
      <c r="R825" s="1">
        <f t="shared" si="62"/>
        <v>0</v>
      </c>
      <c r="T825" s="1">
        <f t="shared" si="59"/>
        <v>0</v>
      </c>
      <c r="U825" s="1">
        <f t="shared" si="60"/>
        <v>0</v>
      </c>
    </row>
    <row r="826" spans="1:21" x14ac:dyDescent="0.25">
      <c r="A826" s="1" t="s">
        <v>1762</v>
      </c>
      <c r="B826" s="1" t="s">
        <v>1754</v>
      </c>
      <c r="C826" s="1" t="s">
        <v>34</v>
      </c>
      <c r="D826" s="2">
        <v>45603</v>
      </c>
      <c r="E826" s="2">
        <v>45925</v>
      </c>
      <c r="F826" s="2">
        <v>45603</v>
      </c>
      <c r="G826" s="2">
        <v>45925</v>
      </c>
      <c r="H826" s="1" t="s">
        <v>20</v>
      </c>
      <c r="I826" s="1">
        <v>100</v>
      </c>
      <c r="J826" s="1">
        <v>105234428</v>
      </c>
      <c r="L826" s="1" t="s">
        <v>1763</v>
      </c>
      <c r="M826" s="1" t="s">
        <v>1763</v>
      </c>
      <c r="N826" s="1" t="s">
        <v>22</v>
      </c>
      <c r="O826" s="1">
        <v>1</v>
      </c>
      <c r="P826" s="1" t="b">
        <v>1</v>
      </c>
      <c r="Q826" s="1" t="s">
        <v>29</v>
      </c>
      <c r="R826" s="1">
        <f t="shared" si="62"/>
        <v>0</v>
      </c>
      <c r="T826" s="1">
        <f t="shared" si="59"/>
        <v>0</v>
      </c>
      <c r="U826" s="1">
        <f t="shared" si="60"/>
        <v>0</v>
      </c>
    </row>
    <row r="827" spans="1:21" x14ac:dyDescent="0.25">
      <c r="A827" s="1" t="s">
        <v>1764</v>
      </c>
      <c r="B827" s="1" t="s">
        <v>1754</v>
      </c>
      <c r="C827" s="1" t="s">
        <v>37</v>
      </c>
      <c r="D827" s="2">
        <v>45925</v>
      </c>
      <c r="E827" s="2">
        <v>46054</v>
      </c>
      <c r="F827" s="2">
        <v>45925</v>
      </c>
      <c r="G827" s="2">
        <v>46054</v>
      </c>
      <c r="H827" s="1" t="s">
        <v>20</v>
      </c>
      <c r="I827" s="1">
        <v>100</v>
      </c>
      <c r="J827" s="1">
        <v>42093771</v>
      </c>
      <c r="L827" s="1" t="s">
        <v>1765</v>
      </c>
      <c r="M827" s="1" t="s">
        <v>1765</v>
      </c>
      <c r="N827" s="1" t="s">
        <v>22</v>
      </c>
      <c r="O827" s="1">
        <v>1</v>
      </c>
      <c r="P827" s="1" t="b">
        <v>1</v>
      </c>
      <c r="R827" s="1">
        <f t="shared" si="62"/>
        <v>0</v>
      </c>
      <c r="T827" s="1">
        <f t="shared" si="59"/>
        <v>0</v>
      </c>
      <c r="U827" s="1">
        <f t="shared" si="60"/>
        <v>0</v>
      </c>
    </row>
    <row r="828" spans="1:21" x14ac:dyDescent="0.25">
      <c r="A828" s="1" t="s">
        <v>1766</v>
      </c>
      <c r="B828" s="1" t="s">
        <v>1754</v>
      </c>
      <c r="C828" s="1" t="s">
        <v>41</v>
      </c>
      <c r="D828" s="2">
        <v>46054</v>
      </c>
      <c r="E828" s="2">
        <v>46157</v>
      </c>
      <c r="F828" s="2">
        <v>46054</v>
      </c>
      <c r="H828" s="1" t="s">
        <v>38</v>
      </c>
      <c r="I828" s="1">
        <v>81</v>
      </c>
      <c r="J828" s="1">
        <v>33675017</v>
      </c>
      <c r="L828" s="1" t="s">
        <v>1767</v>
      </c>
      <c r="M828" s="1" t="s">
        <v>1767</v>
      </c>
      <c r="N828" s="1" t="s">
        <v>22</v>
      </c>
      <c r="O828" s="1">
        <v>1</v>
      </c>
      <c r="P828" s="1" t="b">
        <v>1</v>
      </c>
      <c r="S828" s="1">
        <f>R$7-E828</f>
        <v>137</v>
      </c>
      <c r="T828" s="1">
        <f t="shared" si="59"/>
        <v>1</v>
      </c>
      <c r="U828" s="1">
        <f t="shared" si="60"/>
        <v>137</v>
      </c>
    </row>
    <row r="829" spans="1:21" x14ac:dyDescent="0.25">
      <c r="A829" s="1" t="s">
        <v>1768</v>
      </c>
      <c r="B829" s="1" t="s">
        <v>1754</v>
      </c>
      <c r="C829" s="1" t="s">
        <v>45</v>
      </c>
      <c r="D829" s="2">
        <v>46157</v>
      </c>
      <c r="E829" s="2">
        <v>46286</v>
      </c>
      <c r="H829" s="1" t="s">
        <v>42</v>
      </c>
      <c r="I829" s="1">
        <v>0</v>
      </c>
      <c r="J829" s="1">
        <v>42093771</v>
      </c>
      <c r="L829" s="1" t="s">
        <v>1769</v>
      </c>
      <c r="M829" s="1" t="s">
        <v>1769</v>
      </c>
      <c r="N829" s="1" t="s">
        <v>22</v>
      </c>
      <c r="O829" s="1">
        <v>1</v>
      </c>
      <c r="P829" s="1" t="b">
        <v>1</v>
      </c>
      <c r="S829" s="1">
        <f>R$7-E829</f>
        <v>8</v>
      </c>
      <c r="T829" s="1">
        <f t="shared" si="59"/>
        <v>1</v>
      </c>
      <c r="U829" s="1">
        <f t="shared" si="60"/>
        <v>8</v>
      </c>
    </row>
    <row r="830" spans="1:21" x14ac:dyDescent="0.25">
      <c r="A830" s="1" t="s">
        <v>1770</v>
      </c>
      <c r="B830" s="1" t="s">
        <v>1754</v>
      </c>
      <c r="C830" s="1" t="s">
        <v>48</v>
      </c>
      <c r="D830" s="2">
        <v>46286</v>
      </c>
      <c r="E830" s="2">
        <v>46324</v>
      </c>
      <c r="H830" s="1" t="s">
        <v>42</v>
      </c>
      <c r="I830" s="1">
        <v>0</v>
      </c>
      <c r="J830" s="1">
        <v>12628131</v>
      </c>
      <c r="L830" s="1" t="s">
        <v>1771</v>
      </c>
      <c r="M830" s="1" t="s">
        <v>1771</v>
      </c>
      <c r="N830" s="1" t="s">
        <v>22</v>
      </c>
      <c r="O830" s="1">
        <v>1</v>
      </c>
      <c r="P830" s="1" t="b">
        <v>1</v>
      </c>
      <c r="S830" s="1">
        <f>R$7-E830</f>
        <v>-30</v>
      </c>
      <c r="T830" s="1">
        <f t="shared" si="59"/>
        <v>0</v>
      </c>
      <c r="U830" s="1">
        <f t="shared" si="60"/>
        <v>0</v>
      </c>
    </row>
    <row r="831" spans="1:21" x14ac:dyDescent="0.25">
      <c r="A831" s="1" t="s">
        <v>1772</v>
      </c>
      <c r="B831" s="1" t="s">
        <v>1754</v>
      </c>
      <c r="C831" s="1" t="s">
        <v>51</v>
      </c>
      <c r="D831" s="2">
        <v>46324</v>
      </c>
      <c r="E831" s="2">
        <v>46349</v>
      </c>
      <c r="H831" s="1" t="s">
        <v>42</v>
      </c>
      <c r="I831" s="1">
        <v>0</v>
      </c>
      <c r="J831" s="1">
        <v>8418754</v>
      </c>
      <c r="L831" s="1" t="s">
        <v>1773</v>
      </c>
      <c r="M831" s="1" t="s">
        <v>1773</v>
      </c>
      <c r="N831" s="1" t="s">
        <v>22</v>
      </c>
      <c r="O831" s="1">
        <v>1</v>
      </c>
      <c r="P831" s="1" t="b">
        <v>1</v>
      </c>
      <c r="S831" s="1">
        <f>R$7-E831</f>
        <v>-55</v>
      </c>
      <c r="T831" s="1">
        <f t="shared" si="59"/>
        <v>0</v>
      </c>
      <c r="U831" s="1">
        <f t="shared" si="60"/>
        <v>0</v>
      </c>
    </row>
    <row r="832" spans="1:21" x14ac:dyDescent="0.25">
      <c r="A832" s="1" t="s">
        <v>1774</v>
      </c>
      <c r="B832" s="1" t="s">
        <v>1775</v>
      </c>
      <c r="C832" s="1" t="s">
        <v>19</v>
      </c>
      <c r="D832" s="2">
        <v>44864</v>
      </c>
      <c r="E832" s="2">
        <v>44888</v>
      </c>
      <c r="F832" s="2">
        <v>44864</v>
      </c>
      <c r="G832" s="2">
        <v>44888</v>
      </c>
      <c r="H832" s="1" t="s">
        <v>20</v>
      </c>
      <c r="I832" s="1">
        <v>100</v>
      </c>
      <c r="J832" s="1">
        <v>2373644</v>
      </c>
      <c r="L832" s="1" t="s">
        <v>1776</v>
      </c>
      <c r="M832" s="1" t="s">
        <v>1776</v>
      </c>
      <c r="N832" s="1" t="s">
        <v>22</v>
      </c>
      <c r="O832" s="1">
        <v>1</v>
      </c>
      <c r="P832" s="1" t="b">
        <v>1</v>
      </c>
      <c r="R832" s="1">
        <f t="shared" ref="R832:R878" si="63">G832-E832</f>
        <v>0</v>
      </c>
      <c r="T832" s="1">
        <f t="shared" si="59"/>
        <v>0</v>
      </c>
      <c r="U832" s="1">
        <f t="shared" si="60"/>
        <v>0</v>
      </c>
    </row>
    <row r="833" spans="1:21" x14ac:dyDescent="0.25">
      <c r="A833" s="1" t="s">
        <v>1777</v>
      </c>
      <c r="B833" s="1" t="s">
        <v>1775</v>
      </c>
      <c r="C833" s="1" t="s">
        <v>24</v>
      </c>
      <c r="D833" s="2">
        <v>44888</v>
      </c>
      <c r="E833" s="2">
        <v>44936</v>
      </c>
      <c r="F833" s="2">
        <v>44888</v>
      </c>
      <c r="G833" s="2">
        <v>44936</v>
      </c>
      <c r="H833" s="1" t="s">
        <v>20</v>
      </c>
      <c r="I833" s="1">
        <v>100</v>
      </c>
      <c r="J833" s="1">
        <v>4747289</v>
      </c>
      <c r="L833" s="1" t="s">
        <v>1778</v>
      </c>
      <c r="M833" s="1" t="s">
        <v>1778</v>
      </c>
      <c r="N833" s="1" t="s">
        <v>22</v>
      </c>
      <c r="O833" s="1">
        <v>1</v>
      </c>
      <c r="P833" s="1" t="b">
        <v>1</v>
      </c>
      <c r="R833" s="1">
        <f t="shared" si="63"/>
        <v>0</v>
      </c>
      <c r="T833" s="1">
        <f t="shared" si="59"/>
        <v>0</v>
      </c>
      <c r="U833" s="1">
        <f t="shared" si="60"/>
        <v>0</v>
      </c>
    </row>
    <row r="834" spans="1:21" x14ac:dyDescent="0.25">
      <c r="A834" s="1" t="s">
        <v>1779</v>
      </c>
      <c r="B834" s="1" t="s">
        <v>1775</v>
      </c>
      <c r="C834" s="1" t="s">
        <v>27</v>
      </c>
      <c r="D834" s="2">
        <v>44936</v>
      </c>
      <c r="E834" s="2">
        <v>44993</v>
      </c>
      <c r="F834" s="2">
        <v>44936</v>
      </c>
      <c r="G834" s="2">
        <v>44993</v>
      </c>
      <c r="H834" s="1" t="s">
        <v>20</v>
      </c>
      <c r="I834" s="1">
        <v>100</v>
      </c>
      <c r="J834" s="1">
        <v>5696747</v>
      </c>
      <c r="L834" s="1" t="s">
        <v>1780</v>
      </c>
      <c r="M834" s="1" t="s">
        <v>1780</v>
      </c>
      <c r="N834" s="1" t="s">
        <v>22</v>
      </c>
      <c r="O834" s="1">
        <v>1</v>
      </c>
      <c r="P834" s="1" t="b">
        <v>1</v>
      </c>
      <c r="Q834" s="1" t="s">
        <v>29</v>
      </c>
      <c r="R834" s="1">
        <f t="shared" si="63"/>
        <v>0</v>
      </c>
      <c r="T834" s="1">
        <f t="shared" si="59"/>
        <v>0</v>
      </c>
      <c r="U834" s="1">
        <f t="shared" si="60"/>
        <v>0</v>
      </c>
    </row>
    <row r="835" spans="1:21" x14ac:dyDescent="0.25">
      <c r="A835" s="1" t="s">
        <v>1781</v>
      </c>
      <c r="B835" s="1" t="s">
        <v>1775</v>
      </c>
      <c r="C835" s="1" t="s">
        <v>31</v>
      </c>
      <c r="D835" s="2">
        <v>44993</v>
      </c>
      <c r="E835" s="2">
        <v>45065</v>
      </c>
      <c r="F835" s="2">
        <v>44993</v>
      </c>
      <c r="G835" s="2">
        <v>45065</v>
      </c>
      <c r="H835" s="1" t="s">
        <v>20</v>
      </c>
      <c r="I835" s="1">
        <v>100</v>
      </c>
      <c r="J835" s="1">
        <v>7120933</v>
      </c>
      <c r="L835" s="1" t="s">
        <v>1782</v>
      </c>
      <c r="M835" s="1" t="s">
        <v>1782</v>
      </c>
      <c r="N835" s="1" t="s">
        <v>22</v>
      </c>
      <c r="O835" s="1">
        <v>1</v>
      </c>
      <c r="P835" s="1" t="b">
        <v>1</v>
      </c>
      <c r="R835" s="1">
        <f t="shared" si="63"/>
        <v>0</v>
      </c>
      <c r="T835" s="1">
        <f t="shared" ref="T835:T898" si="64">IF(S835&gt;0,1,0)</f>
        <v>0</v>
      </c>
      <c r="U835" s="1">
        <f t="shared" ref="U835:U898" si="65">IF(S835&gt;0,S835,0)</f>
        <v>0</v>
      </c>
    </row>
    <row r="836" spans="1:21" x14ac:dyDescent="0.25">
      <c r="A836" s="1" t="s">
        <v>1783</v>
      </c>
      <c r="B836" s="1" t="s">
        <v>1775</v>
      </c>
      <c r="C836" s="1" t="s">
        <v>34</v>
      </c>
      <c r="D836" s="2">
        <v>45065</v>
      </c>
      <c r="E836" s="2">
        <v>45185</v>
      </c>
      <c r="F836" s="2">
        <v>45065</v>
      </c>
      <c r="G836" s="2">
        <v>45185</v>
      </c>
      <c r="H836" s="1" t="s">
        <v>20</v>
      </c>
      <c r="I836" s="1">
        <v>100</v>
      </c>
      <c r="J836" s="1">
        <v>11868223</v>
      </c>
      <c r="L836" s="1" t="s">
        <v>1784</v>
      </c>
      <c r="M836" s="1" t="s">
        <v>1784</v>
      </c>
      <c r="N836" s="1" t="s">
        <v>22</v>
      </c>
      <c r="O836" s="1">
        <v>1</v>
      </c>
      <c r="P836" s="1" t="b">
        <v>1</v>
      </c>
      <c r="Q836" s="1" t="s">
        <v>29</v>
      </c>
      <c r="R836" s="1">
        <f t="shared" si="63"/>
        <v>0</v>
      </c>
      <c r="T836" s="1">
        <f t="shared" si="64"/>
        <v>0</v>
      </c>
      <c r="U836" s="1">
        <f t="shared" si="65"/>
        <v>0</v>
      </c>
    </row>
    <row r="837" spans="1:21" x14ac:dyDescent="0.25">
      <c r="A837" s="1" t="s">
        <v>1785</v>
      </c>
      <c r="B837" s="1" t="s">
        <v>1775</v>
      </c>
      <c r="C837" s="1" t="s">
        <v>37</v>
      </c>
      <c r="D837" s="2">
        <v>45185</v>
      </c>
      <c r="E837" s="2">
        <v>45233</v>
      </c>
      <c r="F837" s="2">
        <v>45185</v>
      </c>
      <c r="G837" s="2">
        <v>45233</v>
      </c>
      <c r="H837" s="1" t="s">
        <v>20</v>
      </c>
      <c r="I837" s="1">
        <v>100</v>
      </c>
      <c r="J837" s="1">
        <v>4747289</v>
      </c>
      <c r="L837" s="1" t="s">
        <v>1786</v>
      </c>
      <c r="M837" s="1" t="s">
        <v>1786</v>
      </c>
      <c r="N837" s="1" t="s">
        <v>22</v>
      </c>
      <c r="O837" s="1">
        <v>1</v>
      </c>
      <c r="P837" s="1" t="b">
        <v>1</v>
      </c>
      <c r="R837" s="1">
        <f t="shared" si="63"/>
        <v>0</v>
      </c>
      <c r="T837" s="1">
        <f t="shared" si="64"/>
        <v>0</v>
      </c>
      <c r="U837" s="1">
        <f t="shared" si="65"/>
        <v>0</v>
      </c>
    </row>
    <row r="838" spans="1:21" x14ac:dyDescent="0.25">
      <c r="A838" s="1" t="s">
        <v>1787</v>
      </c>
      <c r="B838" s="1" t="s">
        <v>1775</v>
      </c>
      <c r="C838" s="1" t="s">
        <v>41</v>
      </c>
      <c r="D838" s="2">
        <v>45233</v>
      </c>
      <c r="E838" s="2">
        <v>45271</v>
      </c>
      <c r="F838" s="2">
        <v>45233</v>
      </c>
      <c r="G838" s="2">
        <v>45271</v>
      </c>
      <c r="H838" s="1" t="s">
        <v>20</v>
      </c>
      <c r="I838" s="1">
        <v>100</v>
      </c>
      <c r="J838" s="1">
        <v>3797831</v>
      </c>
      <c r="L838" s="1" t="s">
        <v>1788</v>
      </c>
      <c r="M838" s="1" t="s">
        <v>1788</v>
      </c>
      <c r="N838" s="1" t="s">
        <v>22</v>
      </c>
      <c r="O838" s="1">
        <v>1</v>
      </c>
      <c r="P838" s="1" t="b">
        <v>1</v>
      </c>
      <c r="R838" s="1">
        <f t="shared" si="63"/>
        <v>0</v>
      </c>
      <c r="T838" s="1">
        <f t="shared" si="64"/>
        <v>0</v>
      </c>
      <c r="U838" s="1">
        <f t="shared" si="65"/>
        <v>0</v>
      </c>
    </row>
    <row r="839" spans="1:21" x14ac:dyDescent="0.25">
      <c r="A839" s="1" t="s">
        <v>1789</v>
      </c>
      <c r="B839" s="1" t="s">
        <v>1775</v>
      </c>
      <c r="C839" s="1" t="s">
        <v>45</v>
      </c>
      <c r="D839" s="2">
        <v>45271</v>
      </c>
      <c r="E839" s="2">
        <v>45319</v>
      </c>
      <c r="F839" s="2">
        <v>45271</v>
      </c>
      <c r="G839" s="2">
        <v>45319</v>
      </c>
      <c r="H839" s="1" t="s">
        <v>20</v>
      </c>
      <c r="I839" s="1">
        <v>100</v>
      </c>
      <c r="J839" s="1">
        <v>4747289</v>
      </c>
      <c r="L839" s="1" t="s">
        <v>1790</v>
      </c>
      <c r="M839" s="1" t="s">
        <v>1790</v>
      </c>
      <c r="N839" s="1" t="s">
        <v>22</v>
      </c>
      <c r="O839" s="1">
        <v>1</v>
      </c>
      <c r="P839" s="1" t="b">
        <v>1</v>
      </c>
      <c r="R839" s="1">
        <f t="shared" si="63"/>
        <v>0</v>
      </c>
      <c r="T839" s="1">
        <f t="shared" si="64"/>
        <v>0</v>
      </c>
      <c r="U839" s="1">
        <f t="shared" si="65"/>
        <v>0</v>
      </c>
    </row>
    <row r="840" spans="1:21" x14ac:dyDescent="0.25">
      <c r="A840" s="1" t="s">
        <v>1791</v>
      </c>
      <c r="B840" s="1" t="s">
        <v>1775</v>
      </c>
      <c r="C840" s="1" t="s">
        <v>48</v>
      </c>
      <c r="D840" s="2">
        <v>45319</v>
      </c>
      <c r="E840" s="2">
        <v>45333</v>
      </c>
      <c r="F840" s="2">
        <v>45319</v>
      </c>
      <c r="G840" s="2">
        <v>45333</v>
      </c>
      <c r="H840" s="1" t="s">
        <v>20</v>
      </c>
      <c r="I840" s="1">
        <v>100</v>
      </c>
      <c r="J840" s="1">
        <v>1424186</v>
      </c>
      <c r="L840" s="1" t="s">
        <v>1792</v>
      </c>
      <c r="M840" s="1" t="s">
        <v>1792</v>
      </c>
      <c r="N840" s="1" t="s">
        <v>22</v>
      </c>
      <c r="O840" s="1">
        <v>1</v>
      </c>
      <c r="P840" s="1" t="b">
        <v>1</v>
      </c>
      <c r="R840" s="1">
        <f t="shared" si="63"/>
        <v>0</v>
      </c>
      <c r="T840" s="1">
        <f t="shared" si="64"/>
        <v>0</v>
      </c>
      <c r="U840" s="1">
        <f t="shared" si="65"/>
        <v>0</v>
      </c>
    </row>
    <row r="841" spans="1:21" x14ac:dyDescent="0.25">
      <c r="A841" s="1" t="s">
        <v>1793</v>
      </c>
      <c r="B841" s="1" t="s">
        <v>1775</v>
      </c>
      <c r="C841" s="1" t="s">
        <v>51</v>
      </c>
      <c r="D841" s="2">
        <v>45333</v>
      </c>
      <c r="E841" s="2">
        <v>45342</v>
      </c>
      <c r="F841" s="2">
        <v>45333</v>
      </c>
      <c r="G841" s="2">
        <v>45342</v>
      </c>
      <c r="H841" s="1" t="s">
        <v>20</v>
      </c>
      <c r="I841" s="1">
        <v>100</v>
      </c>
      <c r="J841" s="1">
        <v>949457</v>
      </c>
      <c r="L841" s="1" t="s">
        <v>1794</v>
      </c>
      <c r="M841" s="1" t="s">
        <v>1794</v>
      </c>
      <c r="N841" s="1" t="s">
        <v>22</v>
      </c>
      <c r="O841" s="1">
        <v>1</v>
      </c>
      <c r="P841" s="1" t="b">
        <v>1</v>
      </c>
      <c r="R841" s="1">
        <f t="shared" si="63"/>
        <v>0</v>
      </c>
      <c r="T841" s="1">
        <f t="shared" si="64"/>
        <v>0</v>
      </c>
      <c r="U841" s="1">
        <f t="shared" si="65"/>
        <v>0</v>
      </c>
    </row>
    <row r="842" spans="1:21" x14ac:dyDescent="0.25">
      <c r="A842" s="1" t="s">
        <v>1795</v>
      </c>
      <c r="B842" s="1" t="s">
        <v>1796</v>
      </c>
      <c r="C842" s="1" t="s">
        <v>19</v>
      </c>
      <c r="D842" s="2">
        <v>44660</v>
      </c>
      <c r="E842" s="2">
        <v>44727</v>
      </c>
      <c r="F842" s="2">
        <v>44660</v>
      </c>
      <c r="G842" s="2">
        <v>44727</v>
      </c>
      <c r="H842" s="1" t="s">
        <v>20</v>
      </c>
      <c r="I842" s="1">
        <v>100</v>
      </c>
      <c r="J842" s="1">
        <v>12337344</v>
      </c>
      <c r="L842" s="1" t="s">
        <v>1797</v>
      </c>
      <c r="M842" s="1" t="s">
        <v>1797</v>
      </c>
      <c r="N842" s="1" t="s">
        <v>22</v>
      </c>
      <c r="O842" s="1">
        <v>1</v>
      </c>
      <c r="P842" s="1" t="b">
        <v>1</v>
      </c>
      <c r="R842" s="1">
        <f t="shared" si="63"/>
        <v>0</v>
      </c>
      <c r="T842" s="1">
        <f t="shared" si="64"/>
        <v>0</v>
      </c>
      <c r="U842" s="1">
        <f t="shared" si="65"/>
        <v>0</v>
      </c>
    </row>
    <row r="843" spans="1:21" x14ac:dyDescent="0.25">
      <c r="A843" s="1" t="s">
        <v>1798</v>
      </c>
      <c r="B843" s="1" t="s">
        <v>1796</v>
      </c>
      <c r="C843" s="1" t="s">
        <v>24</v>
      </c>
      <c r="D843" s="2">
        <v>44727</v>
      </c>
      <c r="E843" s="2">
        <v>44862</v>
      </c>
      <c r="F843" s="2">
        <v>44727</v>
      </c>
      <c r="G843" s="2">
        <v>44862</v>
      </c>
      <c r="H843" s="1" t="s">
        <v>20</v>
      </c>
      <c r="I843" s="1">
        <v>100</v>
      </c>
      <c r="J843" s="1">
        <v>24674688</v>
      </c>
      <c r="L843" s="1" t="s">
        <v>1799</v>
      </c>
      <c r="M843" s="1" t="s">
        <v>1799</v>
      </c>
      <c r="N843" s="1" t="s">
        <v>22</v>
      </c>
      <c r="O843" s="1">
        <v>1</v>
      </c>
      <c r="P843" s="1" t="b">
        <v>1</v>
      </c>
      <c r="R843" s="1">
        <f t="shared" si="63"/>
        <v>0</v>
      </c>
      <c r="T843" s="1">
        <f t="shared" si="64"/>
        <v>0</v>
      </c>
      <c r="U843" s="1">
        <f t="shared" si="65"/>
        <v>0</v>
      </c>
    </row>
    <row r="844" spans="1:21" x14ac:dyDescent="0.25">
      <c r="A844" s="1" t="s">
        <v>1800</v>
      </c>
      <c r="B844" s="1" t="s">
        <v>1796</v>
      </c>
      <c r="C844" s="1" t="s">
        <v>27</v>
      </c>
      <c r="D844" s="2">
        <v>44862</v>
      </c>
      <c r="E844" s="2">
        <v>45024</v>
      </c>
      <c r="F844" s="2">
        <v>44862</v>
      </c>
      <c r="G844" s="2">
        <v>45024</v>
      </c>
      <c r="H844" s="1" t="s">
        <v>20</v>
      </c>
      <c r="I844" s="1">
        <v>100</v>
      </c>
      <c r="J844" s="1">
        <v>29609625</v>
      </c>
      <c r="L844" s="1" t="s">
        <v>1801</v>
      </c>
      <c r="M844" s="1" t="s">
        <v>1801</v>
      </c>
      <c r="N844" s="1" t="s">
        <v>22</v>
      </c>
      <c r="O844" s="1">
        <v>1</v>
      </c>
      <c r="P844" s="1" t="b">
        <v>1</v>
      </c>
      <c r="Q844" s="1" t="s">
        <v>29</v>
      </c>
      <c r="R844" s="1">
        <f t="shared" si="63"/>
        <v>0</v>
      </c>
      <c r="T844" s="1">
        <f t="shared" si="64"/>
        <v>0</v>
      </c>
      <c r="U844" s="1">
        <f t="shared" si="65"/>
        <v>0</v>
      </c>
    </row>
    <row r="845" spans="1:21" x14ac:dyDescent="0.25">
      <c r="A845" s="1" t="s">
        <v>1802</v>
      </c>
      <c r="B845" s="1" t="s">
        <v>1796</v>
      </c>
      <c r="C845" s="1" t="s">
        <v>31</v>
      </c>
      <c r="D845" s="2">
        <v>45024</v>
      </c>
      <c r="E845" s="2">
        <v>45226</v>
      </c>
      <c r="F845" s="2">
        <v>45024</v>
      </c>
      <c r="G845" s="2">
        <v>45226</v>
      </c>
      <c r="H845" s="1" t="s">
        <v>20</v>
      </c>
      <c r="I845" s="1">
        <v>100</v>
      </c>
      <c r="J845" s="1">
        <v>37012032</v>
      </c>
      <c r="L845" s="1" t="s">
        <v>1803</v>
      </c>
      <c r="M845" s="1" t="s">
        <v>1803</v>
      </c>
      <c r="N845" s="1" t="s">
        <v>22</v>
      </c>
      <c r="O845" s="1">
        <v>1</v>
      </c>
      <c r="P845" s="1" t="b">
        <v>1</v>
      </c>
      <c r="R845" s="1">
        <f t="shared" si="63"/>
        <v>0</v>
      </c>
      <c r="T845" s="1">
        <f t="shared" si="64"/>
        <v>0</v>
      </c>
      <c r="U845" s="1">
        <f t="shared" si="65"/>
        <v>0</v>
      </c>
    </row>
    <row r="846" spans="1:21" x14ac:dyDescent="0.25">
      <c r="A846" s="1" t="s">
        <v>1804</v>
      </c>
      <c r="B846" s="1" t="s">
        <v>1796</v>
      </c>
      <c r="C846" s="1" t="s">
        <v>34</v>
      </c>
      <c r="D846" s="2">
        <v>45226</v>
      </c>
      <c r="E846" s="2">
        <v>45563</v>
      </c>
      <c r="F846" s="2">
        <v>45226</v>
      </c>
      <c r="G846" s="2">
        <v>45563</v>
      </c>
      <c r="H846" s="1" t="s">
        <v>20</v>
      </c>
      <c r="I846" s="1">
        <v>100</v>
      </c>
      <c r="J846" s="1">
        <v>61686720</v>
      </c>
      <c r="L846" s="1" t="s">
        <v>1805</v>
      </c>
      <c r="M846" s="1" t="s">
        <v>1805</v>
      </c>
      <c r="N846" s="1" t="s">
        <v>22</v>
      </c>
      <c r="O846" s="1">
        <v>1</v>
      </c>
      <c r="P846" s="1" t="b">
        <v>1</v>
      </c>
      <c r="Q846" s="1" t="s">
        <v>29</v>
      </c>
      <c r="R846" s="1">
        <f t="shared" si="63"/>
        <v>0</v>
      </c>
      <c r="T846" s="1">
        <f t="shared" si="64"/>
        <v>0</v>
      </c>
      <c r="U846" s="1">
        <f t="shared" si="65"/>
        <v>0</v>
      </c>
    </row>
    <row r="847" spans="1:21" x14ac:dyDescent="0.25">
      <c r="A847" s="1" t="s">
        <v>1806</v>
      </c>
      <c r="B847" s="1" t="s">
        <v>1796</v>
      </c>
      <c r="C847" s="1" t="s">
        <v>37</v>
      </c>
      <c r="D847" s="2">
        <v>45563</v>
      </c>
      <c r="E847" s="2">
        <v>45698</v>
      </c>
      <c r="F847" s="2">
        <v>45563</v>
      </c>
      <c r="G847" s="2">
        <v>45698</v>
      </c>
      <c r="H847" s="1" t="s">
        <v>20</v>
      </c>
      <c r="I847" s="1">
        <v>100</v>
      </c>
      <c r="J847" s="1">
        <v>24674688</v>
      </c>
      <c r="L847" s="1" t="s">
        <v>1807</v>
      </c>
      <c r="M847" s="1" t="s">
        <v>1807</v>
      </c>
      <c r="N847" s="1" t="s">
        <v>22</v>
      </c>
      <c r="O847" s="1">
        <v>1</v>
      </c>
      <c r="P847" s="1" t="b">
        <v>1</v>
      </c>
      <c r="R847" s="1">
        <f t="shared" si="63"/>
        <v>0</v>
      </c>
      <c r="T847" s="1">
        <f t="shared" si="64"/>
        <v>0</v>
      </c>
      <c r="U847" s="1">
        <f t="shared" si="65"/>
        <v>0</v>
      </c>
    </row>
    <row r="848" spans="1:21" x14ac:dyDescent="0.25">
      <c r="A848" s="1" t="s">
        <v>1808</v>
      </c>
      <c r="B848" s="1" t="s">
        <v>1796</v>
      </c>
      <c r="C848" s="1" t="s">
        <v>41</v>
      </c>
      <c r="D848" s="2">
        <v>45698</v>
      </c>
      <c r="E848" s="2">
        <v>45806</v>
      </c>
      <c r="F848" s="2">
        <v>45698</v>
      </c>
      <c r="G848" s="2">
        <v>45806</v>
      </c>
      <c r="H848" s="1" t="s">
        <v>20</v>
      </c>
      <c r="I848" s="1">
        <v>100</v>
      </c>
      <c r="J848" s="1">
        <v>19739750</v>
      </c>
      <c r="L848" s="1" t="s">
        <v>1809</v>
      </c>
      <c r="M848" s="1" t="s">
        <v>1809</v>
      </c>
      <c r="N848" s="1" t="s">
        <v>22</v>
      </c>
      <c r="O848" s="1">
        <v>1</v>
      </c>
      <c r="P848" s="1" t="b">
        <v>1</v>
      </c>
      <c r="R848" s="1">
        <f t="shared" si="63"/>
        <v>0</v>
      </c>
      <c r="T848" s="1">
        <f t="shared" si="64"/>
        <v>0</v>
      </c>
      <c r="U848" s="1">
        <f t="shared" si="65"/>
        <v>0</v>
      </c>
    </row>
    <row r="849" spans="1:21" x14ac:dyDescent="0.25">
      <c r="A849" s="1" t="s">
        <v>1810</v>
      </c>
      <c r="B849" s="1" t="s">
        <v>1796</v>
      </c>
      <c r="C849" s="1" t="s">
        <v>45</v>
      </c>
      <c r="D849" s="2">
        <v>45806</v>
      </c>
      <c r="E849" s="2">
        <v>45941</v>
      </c>
      <c r="F849" s="2">
        <v>45806</v>
      </c>
      <c r="G849" s="2">
        <v>45941</v>
      </c>
      <c r="H849" s="1" t="s">
        <v>20</v>
      </c>
      <c r="I849" s="1">
        <v>100</v>
      </c>
      <c r="J849" s="1">
        <v>24674688</v>
      </c>
      <c r="L849" s="1" t="s">
        <v>1811</v>
      </c>
      <c r="M849" s="1" t="s">
        <v>1811</v>
      </c>
      <c r="N849" s="1" t="s">
        <v>22</v>
      </c>
      <c r="O849" s="1">
        <v>1</v>
      </c>
      <c r="P849" s="1" t="b">
        <v>1</v>
      </c>
      <c r="R849" s="1">
        <f t="shared" si="63"/>
        <v>0</v>
      </c>
      <c r="T849" s="1">
        <f t="shared" si="64"/>
        <v>0</v>
      </c>
      <c r="U849" s="1">
        <f t="shared" si="65"/>
        <v>0</v>
      </c>
    </row>
    <row r="850" spans="1:21" x14ac:dyDescent="0.25">
      <c r="A850" s="1" t="s">
        <v>1812</v>
      </c>
      <c r="B850" s="1" t="s">
        <v>1796</v>
      </c>
      <c r="C850" s="1" t="s">
        <v>48</v>
      </c>
      <c r="D850" s="2">
        <v>45941</v>
      </c>
      <c r="E850" s="2">
        <v>45981</v>
      </c>
      <c r="F850" s="2">
        <v>45941</v>
      </c>
      <c r="G850" s="2">
        <v>45981</v>
      </c>
      <c r="H850" s="1" t="s">
        <v>20</v>
      </c>
      <c r="I850" s="1">
        <v>100</v>
      </c>
      <c r="J850" s="1">
        <v>7402406</v>
      </c>
      <c r="L850" s="1" t="s">
        <v>1813</v>
      </c>
      <c r="M850" s="1" t="s">
        <v>1813</v>
      </c>
      <c r="N850" s="1" t="s">
        <v>22</v>
      </c>
      <c r="O850" s="1">
        <v>1</v>
      </c>
      <c r="P850" s="1" t="b">
        <v>1</v>
      </c>
      <c r="R850" s="1">
        <f t="shared" si="63"/>
        <v>0</v>
      </c>
      <c r="T850" s="1">
        <f t="shared" si="64"/>
        <v>0</v>
      </c>
      <c r="U850" s="1">
        <f t="shared" si="65"/>
        <v>0</v>
      </c>
    </row>
    <row r="851" spans="1:21" x14ac:dyDescent="0.25">
      <c r="A851" s="1" t="s">
        <v>1814</v>
      </c>
      <c r="B851" s="1" t="s">
        <v>1796</v>
      </c>
      <c r="C851" s="1" t="s">
        <v>51</v>
      </c>
      <c r="D851" s="2">
        <v>45981</v>
      </c>
      <c r="E851" s="2">
        <v>46008</v>
      </c>
      <c r="F851" s="2">
        <v>45981</v>
      </c>
      <c r="G851" s="2">
        <v>46008</v>
      </c>
      <c r="H851" s="1" t="s">
        <v>20</v>
      </c>
      <c r="I851" s="1">
        <v>100</v>
      </c>
      <c r="J851" s="1">
        <v>4934937</v>
      </c>
      <c r="L851" s="1" t="s">
        <v>1815</v>
      </c>
      <c r="M851" s="1" t="s">
        <v>1815</v>
      </c>
      <c r="N851" s="1" t="s">
        <v>22</v>
      </c>
      <c r="O851" s="1">
        <v>1</v>
      </c>
      <c r="P851" s="1" t="b">
        <v>1</v>
      </c>
      <c r="R851" s="1">
        <f t="shared" si="63"/>
        <v>0</v>
      </c>
      <c r="T851" s="1">
        <f t="shared" si="64"/>
        <v>0</v>
      </c>
      <c r="U851" s="1">
        <f t="shared" si="65"/>
        <v>0</v>
      </c>
    </row>
    <row r="852" spans="1:21" x14ac:dyDescent="0.25">
      <c r="A852" s="1" t="s">
        <v>1816</v>
      </c>
      <c r="B852" s="1" t="s">
        <v>1817</v>
      </c>
      <c r="C852" s="1" t="s">
        <v>19</v>
      </c>
      <c r="D852" s="2">
        <v>44650</v>
      </c>
      <c r="E852" s="2">
        <v>44677</v>
      </c>
      <c r="F852" s="2">
        <v>44650</v>
      </c>
      <c r="G852" s="2">
        <v>44677</v>
      </c>
      <c r="H852" s="1" t="s">
        <v>20</v>
      </c>
      <c r="I852" s="1">
        <v>100</v>
      </c>
      <c r="J852" s="1">
        <v>1962414</v>
      </c>
      <c r="L852" s="1" t="s">
        <v>1818</v>
      </c>
      <c r="M852" s="1" t="s">
        <v>1818</v>
      </c>
      <c r="N852" s="1" t="s">
        <v>22</v>
      </c>
      <c r="O852" s="1">
        <v>1</v>
      </c>
      <c r="P852" s="1" t="b">
        <v>1</v>
      </c>
      <c r="R852" s="1">
        <f t="shared" si="63"/>
        <v>0</v>
      </c>
      <c r="T852" s="1">
        <f t="shared" si="64"/>
        <v>0</v>
      </c>
      <c r="U852" s="1">
        <f t="shared" si="65"/>
        <v>0</v>
      </c>
    </row>
    <row r="853" spans="1:21" x14ac:dyDescent="0.25">
      <c r="A853" s="1" t="s">
        <v>1819</v>
      </c>
      <c r="B853" s="1" t="s">
        <v>1817</v>
      </c>
      <c r="C853" s="1" t="s">
        <v>24</v>
      </c>
      <c r="D853" s="2">
        <v>44677</v>
      </c>
      <c r="E853" s="2">
        <v>44731</v>
      </c>
      <c r="F853" s="2">
        <v>44677</v>
      </c>
      <c r="G853" s="2">
        <v>44731</v>
      </c>
      <c r="H853" s="1" t="s">
        <v>20</v>
      </c>
      <c r="I853" s="1">
        <v>100</v>
      </c>
      <c r="J853" s="1">
        <v>3924828</v>
      </c>
      <c r="L853" s="1" t="s">
        <v>1820</v>
      </c>
      <c r="M853" s="1" t="s">
        <v>1820</v>
      </c>
      <c r="N853" s="1" t="s">
        <v>22</v>
      </c>
      <c r="O853" s="1">
        <v>1</v>
      </c>
      <c r="P853" s="1" t="b">
        <v>1</v>
      </c>
      <c r="R853" s="1">
        <f t="shared" si="63"/>
        <v>0</v>
      </c>
      <c r="T853" s="1">
        <f t="shared" si="64"/>
        <v>0</v>
      </c>
      <c r="U853" s="1">
        <f t="shared" si="65"/>
        <v>0</v>
      </c>
    </row>
    <row r="854" spans="1:21" x14ac:dyDescent="0.25">
      <c r="A854" s="1" t="s">
        <v>1821</v>
      </c>
      <c r="B854" s="1" t="s">
        <v>1817</v>
      </c>
      <c r="C854" s="1" t="s">
        <v>27</v>
      </c>
      <c r="D854" s="2">
        <v>44731</v>
      </c>
      <c r="E854" s="2">
        <v>44795</v>
      </c>
      <c r="F854" s="2">
        <v>44731</v>
      </c>
      <c r="G854" s="2">
        <v>44795</v>
      </c>
      <c r="H854" s="1" t="s">
        <v>20</v>
      </c>
      <c r="I854" s="1">
        <v>100</v>
      </c>
      <c r="J854" s="1">
        <v>4709793</v>
      </c>
      <c r="L854" s="1" t="s">
        <v>1822</v>
      </c>
      <c r="M854" s="1" t="s">
        <v>1822</v>
      </c>
      <c r="N854" s="1" t="s">
        <v>22</v>
      </c>
      <c r="O854" s="1">
        <v>1</v>
      </c>
      <c r="P854" s="1" t="b">
        <v>1</v>
      </c>
      <c r="Q854" s="1" t="s">
        <v>29</v>
      </c>
      <c r="R854" s="1">
        <f t="shared" si="63"/>
        <v>0</v>
      </c>
      <c r="T854" s="1">
        <f t="shared" si="64"/>
        <v>0</v>
      </c>
      <c r="U854" s="1">
        <f t="shared" si="65"/>
        <v>0</v>
      </c>
    </row>
    <row r="855" spans="1:21" x14ac:dyDescent="0.25">
      <c r="A855" s="1" t="s">
        <v>1823</v>
      </c>
      <c r="B855" s="1" t="s">
        <v>1817</v>
      </c>
      <c r="C855" s="1" t="s">
        <v>31</v>
      </c>
      <c r="D855" s="2">
        <v>44795</v>
      </c>
      <c r="E855" s="2">
        <v>44876</v>
      </c>
      <c r="F855" s="2">
        <v>44795</v>
      </c>
      <c r="G855" s="2">
        <v>44876</v>
      </c>
      <c r="H855" s="1" t="s">
        <v>20</v>
      </c>
      <c r="I855" s="1">
        <v>100</v>
      </c>
      <c r="J855" s="1">
        <v>5887242</v>
      </c>
      <c r="L855" s="1" t="s">
        <v>1824</v>
      </c>
      <c r="M855" s="1" t="s">
        <v>1824</v>
      </c>
      <c r="N855" s="1" t="s">
        <v>22</v>
      </c>
      <c r="O855" s="1">
        <v>1</v>
      </c>
      <c r="P855" s="1" t="b">
        <v>1</v>
      </c>
      <c r="R855" s="1">
        <f t="shared" si="63"/>
        <v>0</v>
      </c>
      <c r="T855" s="1">
        <f t="shared" si="64"/>
        <v>0</v>
      </c>
      <c r="U855" s="1">
        <f t="shared" si="65"/>
        <v>0</v>
      </c>
    </row>
    <row r="856" spans="1:21" x14ac:dyDescent="0.25">
      <c r="A856" s="1" t="s">
        <v>1825</v>
      </c>
      <c r="B856" s="1" t="s">
        <v>1817</v>
      </c>
      <c r="C856" s="1" t="s">
        <v>34</v>
      </c>
      <c r="D856" s="2">
        <v>44876</v>
      </c>
      <c r="E856" s="2">
        <v>45011</v>
      </c>
      <c r="F856" s="2">
        <v>44876</v>
      </c>
      <c r="G856" s="2">
        <v>45011</v>
      </c>
      <c r="H856" s="1" t="s">
        <v>20</v>
      </c>
      <c r="I856" s="1">
        <v>100</v>
      </c>
      <c r="J856" s="1">
        <v>9812070</v>
      </c>
      <c r="L856" s="1" t="s">
        <v>1826</v>
      </c>
      <c r="M856" s="1" t="s">
        <v>1826</v>
      </c>
      <c r="N856" s="1" t="s">
        <v>22</v>
      </c>
      <c r="O856" s="1">
        <v>1</v>
      </c>
      <c r="P856" s="1" t="b">
        <v>1</v>
      </c>
      <c r="Q856" s="1" t="s">
        <v>29</v>
      </c>
      <c r="R856" s="1">
        <f t="shared" si="63"/>
        <v>0</v>
      </c>
      <c r="T856" s="1">
        <f t="shared" si="64"/>
        <v>0</v>
      </c>
      <c r="U856" s="1">
        <f t="shared" si="65"/>
        <v>0</v>
      </c>
    </row>
    <row r="857" spans="1:21" x14ac:dyDescent="0.25">
      <c r="A857" s="1" t="s">
        <v>1827</v>
      </c>
      <c r="B857" s="1" t="s">
        <v>1817</v>
      </c>
      <c r="C857" s="1" t="s">
        <v>37</v>
      </c>
      <c r="D857" s="2">
        <v>45011</v>
      </c>
      <c r="E857" s="2">
        <v>45065</v>
      </c>
      <c r="F857" s="2">
        <v>45011</v>
      </c>
      <c r="G857" s="2">
        <v>45065</v>
      </c>
      <c r="H857" s="1" t="s">
        <v>20</v>
      </c>
      <c r="I857" s="1">
        <v>100</v>
      </c>
      <c r="J857" s="1">
        <v>3924828</v>
      </c>
      <c r="L857" s="1" t="s">
        <v>1828</v>
      </c>
      <c r="M857" s="1" t="s">
        <v>1828</v>
      </c>
      <c r="N857" s="1" t="s">
        <v>22</v>
      </c>
      <c r="O857" s="1">
        <v>1</v>
      </c>
      <c r="P857" s="1" t="b">
        <v>1</v>
      </c>
      <c r="R857" s="1">
        <f t="shared" si="63"/>
        <v>0</v>
      </c>
      <c r="T857" s="1">
        <f t="shared" si="64"/>
        <v>0</v>
      </c>
      <c r="U857" s="1">
        <f t="shared" si="65"/>
        <v>0</v>
      </c>
    </row>
    <row r="858" spans="1:21" x14ac:dyDescent="0.25">
      <c r="A858" s="1" t="s">
        <v>1829</v>
      </c>
      <c r="B858" s="1" t="s">
        <v>1817</v>
      </c>
      <c r="C858" s="1" t="s">
        <v>41</v>
      </c>
      <c r="D858" s="2">
        <v>45065</v>
      </c>
      <c r="E858" s="2">
        <v>45108</v>
      </c>
      <c r="F858" s="2">
        <v>45065</v>
      </c>
      <c r="G858" s="2">
        <v>45108</v>
      </c>
      <c r="H858" s="1" t="s">
        <v>20</v>
      </c>
      <c r="I858" s="1">
        <v>100</v>
      </c>
      <c r="J858" s="1">
        <v>3139862</v>
      </c>
      <c r="L858" s="1" t="s">
        <v>1830</v>
      </c>
      <c r="M858" s="1" t="s">
        <v>1830</v>
      </c>
      <c r="N858" s="1" t="s">
        <v>22</v>
      </c>
      <c r="O858" s="1">
        <v>1</v>
      </c>
      <c r="P858" s="1" t="b">
        <v>1</v>
      </c>
      <c r="R858" s="1">
        <f t="shared" si="63"/>
        <v>0</v>
      </c>
      <c r="T858" s="1">
        <f t="shared" si="64"/>
        <v>0</v>
      </c>
      <c r="U858" s="1">
        <f t="shared" si="65"/>
        <v>0</v>
      </c>
    </row>
    <row r="859" spans="1:21" x14ac:dyDescent="0.25">
      <c r="A859" s="1" t="s">
        <v>1831</v>
      </c>
      <c r="B859" s="1" t="s">
        <v>1817</v>
      </c>
      <c r="C859" s="1" t="s">
        <v>45</v>
      </c>
      <c r="D859" s="2">
        <v>45108</v>
      </c>
      <c r="E859" s="2">
        <v>45162</v>
      </c>
      <c r="F859" s="2">
        <v>45108</v>
      </c>
      <c r="G859" s="2">
        <v>45162</v>
      </c>
      <c r="H859" s="1" t="s">
        <v>20</v>
      </c>
      <c r="I859" s="1">
        <v>100</v>
      </c>
      <c r="J859" s="1">
        <v>3924828</v>
      </c>
      <c r="L859" s="1" t="s">
        <v>1832</v>
      </c>
      <c r="M859" s="1" t="s">
        <v>1832</v>
      </c>
      <c r="N859" s="1" t="s">
        <v>22</v>
      </c>
      <c r="O859" s="1">
        <v>1</v>
      </c>
      <c r="P859" s="1" t="b">
        <v>1</v>
      </c>
      <c r="R859" s="1">
        <f t="shared" si="63"/>
        <v>0</v>
      </c>
      <c r="T859" s="1">
        <f t="shared" si="64"/>
        <v>0</v>
      </c>
      <c r="U859" s="1">
        <f t="shared" si="65"/>
        <v>0</v>
      </c>
    </row>
    <row r="860" spans="1:21" x14ac:dyDescent="0.25">
      <c r="A860" s="1" t="s">
        <v>1833</v>
      </c>
      <c r="B860" s="1" t="s">
        <v>1817</v>
      </c>
      <c r="C860" s="1" t="s">
        <v>48</v>
      </c>
      <c r="D860" s="2">
        <v>45162</v>
      </c>
      <c r="E860" s="2">
        <v>45178</v>
      </c>
      <c r="F860" s="2">
        <v>45162</v>
      </c>
      <c r="G860" s="2">
        <v>45178</v>
      </c>
      <c r="H860" s="1" t="s">
        <v>20</v>
      </c>
      <c r="I860" s="1">
        <v>100</v>
      </c>
      <c r="J860" s="1">
        <v>1177448</v>
      </c>
      <c r="L860" s="1" t="s">
        <v>1834</v>
      </c>
      <c r="M860" s="1" t="s">
        <v>1834</v>
      </c>
      <c r="N860" s="1" t="s">
        <v>22</v>
      </c>
      <c r="O860" s="1">
        <v>1</v>
      </c>
      <c r="P860" s="1" t="b">
        <v>1</v>
      </c>
      <c r="R860" s="1">
        <f t="shared" si="63"/>
        <v>0</v>
      </c>
      <c r="T860" s="1">
        <f t="shared" si="64"/>
        <v>0</v>
      </c>
      <c r="U860" s="1">
        <f t="shared" si="65"/>
        <v>0</v>
      </c>
    </row>
    <row r="861" spans="1:21" x14ac:dyDescent="0.25">
      <c r="A861" s="1" t="s">
        <v>1835</v>
      </c>
      <c r="B861" s="1" t="s">
        <v>1817</v>
      </c>
      <c r="C861" s="1" t="s">
        <v>51</v>
      </c>
      <c r="D861" s="2">
        <v>45178</v>
      </c>
      <c r="E861" s="2">
        <v>45188</v>
      </c>
      <c r="F861" s="2">
        <v>45178</v>
      </c>
      <c r="G861" s="2">
        <v>45188</v>
      </c>
      <c r="H861" s="1" t="s">
        <v>20</v>
      </c>
      <c r="I861" s="1">
        <v>100</v>
      </c>
      <c r="J861" s="1">
        <v>784965</v>
      </c>
      <c r="L861" s="1" t="s">
        <v>1836</v>
      </c>
      <c r="M861" s="1" t="s">
        <v>1836</v>
      </c>
      <c r="N861" s="1" t="s">
        <v>22</v>
      </c>
      <c r="O861" s="1">
        <v>1</v>
      </c>
      <c r="P861" s="1" t="b">
        <v>1</v>
      </c>
      <c r="R861" s="1">
        <f t="shared" si="63"/>
        <v>0</v>
      </c>
      <c r="T861" s="1">
        <f t="shared" si="64"/>
        <v>0</v>
      </c>
      <c r="U861" s="1">
        <f t="shared" si="65"/>
        <v>0</v>
      </c>
    </row>
    <row r="862" spans="1:21" x14ac:dyDescent="0.25">
      <c r="A862" s="1" t="s">
        <v>1837</v>
      </c>
      <c r="B862" s="1" t="s">
        <v>1838</v>
      </c>
      <c r="C862" s="1" t="s">
        <v>19</v>
      </c>
      <c r="D862" s="2">
        <v>44124</v>
      </c>
      <c r="E862" s="2">
        <v>44178</v>
      </c>
      <c r="F862" s="2">
        <v>44124</v>
      </c>
      <c r="G862" s="2">
        <v>44178</v>
      </c>
      <c r="H862" s="1" t="s">
        <v>20</v>
      </c>
      <c r="I862" s="1">
        <v>100</v>
      </c>
      <c r="J862" s="1">
        <v>8554605</v>
      </c>
      <c r="L862" s="1" t="s">
        <v>1839</v>
      </c>
      <c r="M862" s="1" t="s">
        <v>1839</v>
      </c>
      <c r="N862" s="1" t="s">
        <v>22</v>
      </c>
      <c r="O862" s="1">
        <v>1</v>
      </c>
      <c r="P862" s="1" t="b">
        <v>1</v>
      </c>
      <c r="R862" s="1">
        <f t="shared" si="63"/>
        <v>0</v>
      </c>
      <c r="T862" s="1">
        <f t="shared" si="64"/>
        <v>0</v>
      </c>
      <c r="U862" s="1">
        <f t="shared" si="65"/>
        <v>0</v>
      </c>
    </row>
    <row r="863" spans="1:21" x14ac:dyDescent="0.25">
      <c r="A863" s="1" t="s">
        <v>1840</v>
      </c>
      <c r="B863" s="1" t="s">
        <v>1838</v>
      </c>
      <c r="C863" s="1" t="s">
        <v>24</v>
      </c>
      <c r="D863" s="2">
        <v>44178</v>
      </c>
      <c r="E863" s="2">
        <v>44286</v>
      </c>
      <c r="F863" s="2">
        <v>44178</v>
      </c>
      <c r="G863" s="2">
        <v>44286</v>
      </c>
      <c r="H863" s="1" t="s">
        <v>20</v>
      </c>
      <c r="I863" s="1">
        <v>100</v>
      </c>
      <c r="J863" s="1">
        <v>17109210</v>
      </c>
      <c r="L863" s="1" t="s">
        <v>1841</v>
      </c>
      <c r="M863" s="1" t="s">
        <v>1841</v>
      </c>
      <c r="N863" s="1" t="s">
        <v>22</v>
      </c>
      <c r="O863" s="1">
        <v>1</v>
      </c>
      <c r="P863" s="1" t="b">
        <v>1</v>
      </c>
      <c r="R863" s="1">
        <f t="shared" si="63"/>
        <v>0</v>
      </c>
      <c r="T863" s="1">
        <f t="shared" si="64"/>
        <v>0</v>
      </c>
      <c r="U863" s="1">
        <f t="shared" si="65"/>
        <v>0</v>
      </c>
    </row>
    <row r="864" spans="1:21" x14ac:dyDescent="0.25">
      <c r="A864" s="1" t="s">
        <v>1842</v>
      </c>
      <c r="B864" s="1" t="s">
        <v>1838</v>
      </c>
      <c r="C864" s="1" t="s">
        <v>27</v>
      </c>
      <c r="D864" s="2">
        <v>44286</v>
      </c>
      <c r="E864" s="2">
        <v>44415</v>
      </c>
      <c r="F864" s="2">
        <v>44286</v>
      </c>
      <c r="G864" s="2">
        <v>44415</v>
      </c>
      <c r="H864" s="1" t="s">
        <v>20</v>
      </c>
      <c r="I864" s="1">
        <v>100</v>
      </c>
      <c r="J864" s="1">
        <v>20531052</v>
      </c>
      <c r="L864" s="1" t="s">
        <v>1843</v>
      </c>
      <c r="M864" s="1" t="s">
        <v>1843</v>
      </c>
      <c r="N864" s="1" t="s">
        <v>22</v>
      </c>
      <c r="O864" s="1">
        <v>1</v>
      </c>
      <c r="P864" s="1" t="b">
        <v>1</v>
      </c>
      <c r="Q864" s="1" t="s">
        <v>29</v>
      </c>
      <c r="R864" s="1">
        <f t="shared" si="63"/>
        <v>0</v>
      </c>
      <c r="T864" s="1">
        <f t="shared" si="64"/>
        <v>0</v>
      </c>
      <c r="U864" s="1">
        <f t="shared" si="65"/>
        <v>0</v>
      </c>
    </row>
    <row r="865" spans="1:21" x14ac:dyDescent="0.25">
      <c r="A865" s="1" t="s">
        <v>1844</v>
      </c>
      <c r="B865" s="1" t="s">
        <v>1838</v>
      </c>
      <c r="C865" s="1" t="s">
        <v>31</v>
      </c>
      <c r="D865" s="2">
        <v>44415</v>
      </c>
      <c r="E865" s="2">
        <v>44577</v>
      </c>
      <c r="F865" s="2">
        <v>44415</v>
      </c>
      <c r="G865" s="2">
        <v>44577</v>
      </c>
      <c r="H865" s="1" t="s">
        <v>20</v>
      </c>
      <c r="I865" s="1">
        <v>100</v>
      </c>
      <c r="J865" s="1">
        <v>25663815</v>
      </c>
      <c r="L865" s="1" t="s">
        <v>1845</v>
      </c>
      <c r="M865" s="1" t="s">
        <v>1845</v>
      </c>
      <c r="N865" s="1" t="s">
        <v>22</v>
      </c>
      <c r="O865" s="1">
        <v>1</v>
      </c>
      <c r="P865" s="1" t="b">
        <v>1</v>
      </c>
      <c r="R865" s="1">
        <f t="shared" si="63"/>
        <v>0</v>
      </c>
      <c r="T865" s="1">
        <f t="shared" si="64"/>
        <v>0</v>
      </c>
      <c r="U865" s="1">
        <f t="shared" si="65"/>
        <v>0</v>
      </c>
    </row>
    <row r="866" spans="1:21" x14ac:dyDescent="0.25">
      <c r="A866" s="1" t="s">
        <v>1846</v>
      </c>
      <c r="B866" s="1" t="s">
        <v>1838</v>
      </c>
      <c r="C866" s="1" t="s">
        <v>34</v>
      </c>
      <c r="D866" s="2">
        <v>44577</v>
      </c>
      <c r="E866" s="2">
        <v>44847</v>
      </c>
      <c r="F866" s="2">
        <v>44577</v>
      </c>
      <c r="G866" s="2">
        <v>44847</v>
      </c>
      <c r="H866" s="1" t="s">
        <v>20</v>
      </c>
      <c r="I866" s="1">
        <v>100</v>
      </c>
      <c r="J866" s="1">
        <v>42773026</v>
      </c>
      <c r="L866" s="1" t="s">
        <v>1847</v>
      </c>
      <c r="M866" s="1" t="s">
        <v>1847</v>
      </c>
      <c r="N866" s="1" t="s">
        <v>22</v>
      </c>
      <c r="O866" s="1">
        <v>1</v>
      </c>
      <c r="P866" s="1" t="b">
        <v>1</v>
      </c>
      <c r="Q866" s="1" t="s">
        <v>29</v>
      </c>
      <c r="R866" s="1">
        <f t="shared" si="63"/>
        <v>0</v>
      </c>
      <c r="T866" s="1">
        <f t="shared" si="64"/>
        <v>0</v>
      </c>
      <c r="U866" s="1">
        <f t="shared" si="65"/>
        <v>0</v>
      </c>
    </row>
    <row r="867" spans="1:21" x14ac:dyDescent="0.25">
      <c r="A867" s="1" t="s">
        <v>1848</v>
      </c>
      <c r="B867" s="1" t="s">
        <v>1838</v>
      </c>
      <c r="C867" s="1" t="s">
        <v>37</v>
      </c>
      <c r="D867" s="2">
        <v>44847</v>
      </c>
      <c r="E867" s="2">
        <v>44955</v>
      </c>
      <c r="F867" s="2">
        <v>44847</v>
      </c>
      <c r="G867" s="2">
        <v>44955</v>
      </c>
      <c r="H867" s="1" t="s">
        <v>20</v>
      </c>
      <c r="I867" s="1">
        <v>100</v>
      </c>
      <c r="J867" s="1">
        <v>17109210</v>
      </c>
      <c r="L867" s="1" t="s">
        <v>1849</v>
      </c>
      <c r="M867" s="1" t="s">
        <v>1849</v>
      </c>
      <c r="N867" s="1" t="s">
        <v>22</v>
      </c>
      <c r="O867" s="1">
        <v>1</v>
      </c>
      <c r="P867" s="1" t="b">
        <v>1</v>
      </c>
      <c r="R867" s="1">
        <f t="shared" si="63"/>
        <v>0</v>
      </c>
      <c r="T867" s="1">
        <f t="shared" si="64"/>
        <v>0</v>
      </c>
      <c r="U867" s="1">
        <f t="shared" si="65"/>
        <v>0</v>
      </c>
    </row>
    <row r="868" spans="1:21" x14ac:dyDescent="0.25">
      <c r="A868" s="1" t="s">
        <v>1850</v>
      </c>
      <c r="B868" s="1" t="s">
        <v>1838</v>
      </c>
      <c r="C868" s="1" t="s">
        <v>41</v>
      </c>
      <c r="D868" s="2">
        <v>44955</v>
      </c>
      <c r="E868" s="2">
        <v>45041</v>
      </c>
      <c r="F868" s="2">
        <v>44955</v>
      </c>
      <c r="G868" s="2">
        <v>45041</v>
      </c>
      <c r="H868" s="1" t="s">
        <v>20</v>
      </c>
      <c r="I868" s="1">
        <v>100</v>
      </c>
      <c r="J868" s="1">
        <v>13687368</v>
      </c>
      <c r="L868" s="1" t="s">
        <v>1851</v>
      </c>
      <c r="M868" s="1" t="s">
        <v>1851</v>
      </c>
      <c r="N868" s="1" t="s">
        <v>22</v>
      </c>
      <c r="O868" s="1">
        <v>1</v>
      </c>
      <c r="P868" s="1" t="b">
        <v>1</v>
      </c>
      <c r="R868" s="1">
        <f t="shared" si="63"/>
        <v>0</v>
      </c>
      <c r="T868" s="1">
        <f t="shared" si="64"/>
        <v>0</v>
      </c>
      <c r="U868" s="1">
        <f t="shared" si="65"/>
        <v>0</v>
      </c>
    </row>
    <row r="869" spans="1:21" x14ac:dyDescent="0.25">
      <c r="A869" s="1" t="s">
        <v>1852</v>
      </c>
      <c r="B869" s="1" t="s">
        <v>1838</v>
      </c>
      <c r="C869" s="1" t="s">
        <v>45</v>
      </c>
      <c r="D869" s="2">
        <v>45041</v>
      </c>
      <c r="E869" s="2">
        <v>45149</v>
      </c>
      <c r="F869" s="2">
        <v>45041</v>
      </c>
      <c r="G869" s="2">
        <v>45149</v>
      </c>
      <c r="H869" s="1" t="s">
        <v>20</v>
      </c>
      <c r="I869" s="1">
        <v>100</v>
      </c>
      <c r="J869" s="1">
        <v>17109210</v>
      </c>
      <c r="L869" s="1" t="s">
        <v>1853</v>
      </c>
      <c r="M869" s="1" t="s">
        <v>1853</v>
      </c>
      <c r="N869" s="1" t="s">
        <v>22</v>
      </c>
      <c r="O869" s="1">
        <v>1</v>
      </c>
      <c r="P869" s="1" t="b">
        <v>1</v>
      </c>
      <c r="R869" s="1">
        <f t="shared" si="63"/>
        <v>0</v>
      </c>
      <c r="T869" s="1">
        <f t="shared" si="64"/>
        <v>0</v>
      </c>
      <c r="U869" s="1">
        <f t="shared" si="65"/>
        <v>0</v>
      </c>
    </row>
    <row r="870" spans="1:21" x14ac:dyDescent="0.25">
      <c r="A870" s="1" t="s">
        <v>1854</v>
      </c>
      <c r="B870" s="1" t="s">
        <v>1838</v>
      </c>
      <c r="C870" s="1" t="s">
        <v>48</v>
      </c>
      <c r="D870" s="2">
        <v>45149</v>
      </c>
      <c r="E870" s="2">
        <v>45181</v>
      </c>
      <c r="F870" s="2">
        <v>45149</v>
      </c>
      <c r="G870" s="2">
        <v>45181</v>
      </c>
      <c r="H870" s="1" t="s">
        <v>20</v>
      </c>
      <c r="I870" s="1">
        <v>100</v>
      </c>
      <c r="J870" s="1">
        <v>5132763</v>
      </c>
      <c r="L870" s="1" t="s">
        <v>1855</v>
      </c>
      <c r="M870" s="1" t="s">
        <v>1855</v>
      </c>
      <c r="N870" s="1" t="s">
        <v>22</v>
      </c>
      <c r="O870" s="1">
        <v>1</v>
      </c>
      <c r="P870" s="1" t="b">
        <v>1</v>
      </c>
      <c r="R870" s="1">
        <f t="shared" si="63"/>
        <v>0</v>
      </c>
      <c r="T870" s="1">
        <f t="shared" si="64"/>
        <v>0</v>
      </c>
      <c r="U870" s="1">
        <f t="shared" si="65"/>
        <v>0</v>
      </c>
    </row>
    <row r="871" spans="1:21" x14ac:dyDescent="0.25">
      <c r="A871" s="1" t="s">
        <v>1856</v>
      </c>
      <c r="B871" s="1" t="s">
        <v>1838</v>
      </c>
      <c r="C871" s="1" t="s">
        <v>51</v>
      </c>
      <c r="D871" s="2">
        <v>45181</v>
      </c>
      <c r="E871" s="2">
        <v>45202</v>
      </c>
      <c r="F871" s="2">
        <v>45181</v>
      </c>
      <c r="G871" s="2">
        <v>45202</v>
      </c>
      <c r="H871" s="1" t="s">
        <v>20</v>
      </c>
      <c r="I871" s="1">
        <v>100</v>
      </c>
      <c r="J871" s="1">
        <v>3421842</v>
      </c>
      <c r="L871" s="1" t="s">
        <v>1857</v>
      </c>
      <c r="M871" s="1" t="s">
        <v>1857</v>
      </c>
      <c r="N871" s="1" t="s">
        <v>22</v>
      </c>
      <c r="O871" s="1">
        <v>1</v>
      </c>
      <c r="P871" s="1" t="b">
        <v>1</v>
      </c>
      <c r="R871" s="1">
        <f t="shared" si="63"/>
        <v>0</v>
      </c>
      <c r="T871" s="1">
        <f t="shared" si="64"/>
        <v>0</v>
      </c>
      <c r="U871" s="1">
        <f t="shared" si="65"/>
        <v>0</v>
      </c>
    </row>
    <row r="872" spans="1:21" x14ac:dyDescent="0.25">
      <c r="A872" s="1" t="s">
        <v>1858</v>
      </c>
      <c r="B872" s="1" t="s">
        <v>1859</v>
      </c>
      <c r="C872" s="1" t="s">
        <v>19</v>
      </c>
      <c r="D872" s="2">
        <v>44993</v>
      </c>
      <c r="E872" s="2">
        <v>45056</v>
      </c>
      <c r="F872" s="2">
        <v>44993</v>
      </c>
      <c r="G872" s="2">
        <v>45056</v>
      </c>
      <c r="H872" s="1" t="s">
        <v>20</v>
      </c>
      <c r="I872" s="1">
        <v>100</v>
      </c>
      <c r="J872" s="1">
        <v>12791129</v>
      </c>
      <c r="L872" s="1" t="s">
        <v>1860</v>
      </c>
      <c r="M872" s="1" t="s">
        <v>1860</v>
      </c>
      <c r="N872" s="1" t="s">
        <v>22</v>
      </c>
      <c r="O872" s="1">
        <v>1</v>
      </c>
      <c r="P872" s="1" t="b">
        <v>1</v>
      </c>
      <c r="R872" s="1">
        <f t="shared" si="63"/>
        <v>0</v>
      </c>
      <c r="T872" s="1">
        <f t="shared" si="64"/>
        <v>0</v>
      </c>
      <c r="U872" s="1">
        <f t="shared" si="65"/>
        <v>0</v>
      </c>
    </row>
    <row r="873" spans="1:21" x14ac:dyDescent="0.25">
      <c r="A873" s="1" t="s">
        <v>1861</v>
      </c>
      <c r="B873" s="1" t="s">
        <v>1859</v>
      </c>
      <c r="C873" s="1" t="s">
        <v>24</v>
      </c>
      <c r="D873" s="2">
        <v>45056</v>
      </c>
      <c r="E873" s="2">
        <v>45182</v>
      </c>
      <c r="F873" s="2">
        <v>45056</v>
      </c>
      <c r="G873" s="2">
        <v>45182</v>
      </c>
      <c r="H873" s="1" t="s">
        <v>20</v>
      </c>
      <c r="I873" s="1">
        <v>100</v>
      </c>
      <c r="J873" s="1">
        <v>25582258</v>
      </c>
      <c r="L873" s="1" t="s">
        <v>1862</v>
      </c>
      <c r="M873" s="1" t="s">
        <v>1862</v>
      </c>
      <c r="N873" s="1" t="s">
        <v>22</v>
      </c>
      <c r="O873" s="1">
        <v>1</v>
      </c>
      <c r="P873" s="1" t="b">
        <v>1</v>
      </c>
      <c r="R873" s="1">
        <f t="shared" si="63"/>
        <v>0</v>
      </c>
      <c r="T873" s="1">
        <f t="shared" si="64"/>
        <v>0</v>
      </c>
      <c r="U873" s="1">
        <f t="shared" si="65"/>
        <v>0</v>
      </c>
    </row>
    <row r="874" spans="1:21" x14ac:dyDescent="0.25">
      <c r="A874" s="1" t="s">
        <v>1863</v>
      </c>
      <c r="B874" s="1" t="s">
        <v>1859</v>
      </c>
      <c r="C874" s="1" t="s">
        <v>27</v>
      </c>
      <c r="D874" s="2">
        <v>45182</v>
      </c>
      <c r="E874" s="2">
        <v>45333</v>
      </c>
      <c r="F874" s="2">
        <v>45182</v>
      </c>
      <c r="G874" s="2">
        <v>45333</v>
      </c>
      <c r="H874" s="1" t="s">
        <v>20</v>
      </c>
      <c r="I874" s="1">
        <v>100</v>
      </c>
      <c r="J874" s="1">
        <v>30698710</v>
      </c>
      <c r="L874" s="1" t="s">
        <v>1864</v>
      </c>
      <c r="M874" s="1" t="s">
        <v>1864</v>
      </c>
      <c r="N874" s="1" t="s">
        <v>22</v>
      </c>
      <c r="O874" s="1">
        <v>1</v>
      </c>
      <c r="P874" s="1" t="b">
        <v>1</v>
      </c>
      <c r="Q874" s="1" t="s">
        <v>29</v>
      </c>
      <c r="R874" s="1">
        <f t="shared" si="63"/>
        <v>0</v>
      </c>
      <c r="T874" s="1">
        <f t="shared" si="64"/>
        <v>0</v>
      </c>
      <c r="U874" s="1">
        <f t="shared" si="65"/>
        <v>0</v>
      </c>
    </row>
    <row r="875" spans="1:21" x14ac:dyDescent="0.25">
      <c r="A875" s="1" t="s">
        <v>1865</v>
      </c>
      <c r="B875" s="1" t="s">
        <v>1859</v>
      </c>
      <c r="C875" s="1" t="s">
        <v>31</v>
      </c>
      <c r="D875" s="2">
        <v>45333</v>
      </c>
      <c r="E875" s="2">
        <v>45522</v>
      </c>
      <c r="F875" s="2">
        <v>45333</v>
      </c>
      <c r="G875" s="2">
        <v>45522</v>
      </c>
      <c r="H875" s="1" t="s">
        <v>20</v>
      </c>
      <c r="I875" s="1">
        <v>100</v>
      </c>
      <c r="J875" s="1">
        <v>38373388</v>
      </c>
      <c r="L875" s="1" t="s">
        <v>1866</v>
      </c>
      <c r="M875" s="1" t="s">
        <v>1866</v>
      </c>
      <c r="N875" s="1" t="s">
        <v>22</v>
      </c>
      <c r="O875" s="1">
        <v>1</v>
      </c>
      <c r="P875" s="1" t="b">
        <v>1</v>
      </c>
      <c r="R875" s="1">
        <f t="shared" si="63"/>
        <v>0</v>
      </c>
      <c r="T875" s="1">
        <f t="shared" si="64"/>
        <v>0</v>
      </c>
      <c r="U875" s="1">
        <f t="shared" si="65"/>
        <v>0</v>
      </c>
    </row>
    <row r="876" spans="1:21" x14ac:dyDescent="0.25">
      <c r="A876" s="1" t="s">
        <v>1867</v>
      </c>
      <c r="B876" s="1" t="s">
        <v>1859</v>
      </c>
      <c r="C876" s="1" t="s">
        <v>34</v>
      </c>
      <c r="D876" s="2">
        <v>45522</v>
      </c>
      <c r="E876" s="2">
        <v>45837</v>
      </c>
      <c r="F876" s="2">
        <v>45522</v>
      </c>
      <c r="G876" s="2">
        <v>45837</v>
      </c>
      <c r="H876" s="1" t="s">
        <v>20</v>
      </c>
      <c r="I876" s="1">
        <v>100</v>
      </c>
      <c r="J876" s="1">
        <v>63955646</v>
      </c>
      <c r="L876" s="1" t="s">
        <v>1868</v>
      </c>
      <c r="M876" s="1" t="s">
        <v>1868</v>
      </c>
      <c r="N876" s="1" t="s">
        <v>22</v>
      </c>
      <c r="O876" s="1">
        <v>1</v>
      </c>
      <c r="P876" s="1" t="b">
        <v>1</v>
      </c>
      <c r="Q876" s="1" t="s">
        <v>29</v>
      </c>
      <c r="R876" s="1">
        <f t="shared" si="63"/>
        <v>0</v>
      </c>
      <c r="T876" s="1">
        <f t="shared" si="64"/>
        <v>0</v>
      </c>
      <c r="U876" s="1">
        <f t="shared" si="65"/>
        <v>0</v>
      </c>
    </row>
    <row r="877" spans="1:21" x14ac:dyDescent="0.25">
      <c r="A877" s="1" t="s">
        <v>1869</v>
      </c>
      <c r="B877" s="1" t="s">
        <v>1859</v>
      </c>
      <c r="C877" s="1" t="s">
        <v>37</v>
      </c>
      <c r="D877" s="2">
        <v>45837</v>
      </c>
      <c r="E877" s="2">
        <v>45963</v>
      </c>
      <c r="F877" s="2">
        <v>45837</v>
      </c>
      <c r="G877" s="2">
        <v>45963</v>
      </c>
      <c r="H877" s="1" t="s">
        <v>20</v>
      </c>
      <c r="I877" s="1">
        <v>100</v>
      </c>
      <c r="J877" s="1">
        <v>25582258</v>
      </c>
      <c r="L877" s="1" t="s">
        <v>1870</v>
      </c>
      <c r="M877" s="1" t="s">
        <v>1870</v>
      </c>
      <c r="N877" s="1" t="s">
        <v>22</v>
      </c>
      <c r="O877" s="1">
        <v>1</v>
      </c>
      <c r="P877" s="1" t="b">
        <v>1</v>
      </c>
      <c r="R877" s="1">
        <f t="shared" si="63"/>
        <v>0</v>
      </c>
      <c r="T877" s="1">
        <f t="shared" si="64"/>
        <v>0</v>
      </c>
      <c r="U877" s="1">
        <f t="shared" si="65"/>
        <v>0</v>
      </c>
    </row>
    <row r="878" spans="1:21" x14ac:dyDescent="0.25">
      <c r="A878" s="1" t="s">
        <v>1871</v>
      </c>
      <c r="B878" s="1" t="s">
        <v>1859</v>
      </c>
      <c r="C878" s="1" t="s">
        <v>41</v>
      </c>
      <c r="D878" s="2">
        <v>45963</v>
      </c>
      <c r="E878" s="2">
        <v>46063</v>
      </c>
      <c r="F878" s="2">
        <v>45963</v>
      </c>
      <c r="G878" s="2">
        <v>46063</v>
      </c>
      <c r="H878" s="1" t="s">
        <v>20</v>
      </c>
      <c r="I878" s="1">
        <v>100</v>
      </c>
      <c r="J878" s="1">
        <v>20465806</v>
      </c>
      <c r="L878" s="1" t="s">
        <v>1872</v>
      </c>
      <c r="M878" s="1" t="s">
        <v>1872</v>
      </c>
      <c r="N878" s="1" t="s">
        <v>22</v>
      </c>
      <c r="O878" s="1">
        <v>1</v>
      </c>
      <c r="P878" s="1" t="b">
        <v>1</v>
      </c>
      <c r="R878" s="1">
        <f t="shared" si="63"/>
        <v>0</v>
      </c>
      <c r="T878" s="1">
        <f t="shared" si="64"/>
        <v>0</v>
      </c>
      <c r="U878" s="1">
        <f t="shared" si="65"/>
        <v>0</v>
      </c>
    </row>
    <row r="879" spans="1:21" x14ac:dyDescent="0.25">
      <c r="A879" s="1" t="s">
        <v>1873</v>
      </c>
      <c r="B879" s="1" t="s">
        <v>1859</v>
      </c>
      <c r="C879" s="1" t="s">
        <v>45</v>
      </c>
      <c r="D879" s="2">
        <v>46063</v>
      </c>
      <c r="E879" s="2">
        <v>46189</v>
      </c>
      <c r="F879" s="2">
        <v>46063</v>
      </c>
      <c r="H879" s="1" t="s">
        <v>38</v>
      </c>
      <c r="I879" s="1">
        <v>84</v>
      </c>
      <c r="J879" s="1">
        <v>25582258</v>
      </c>
      <c r="L879" s="1" t="s">
        <v>1874</v>
      </c>
      <c r="M879" s="1" t="s">
        <v>1874</v>
      </c>
      <c r="N879" s="1" t="s">
        <v>22</v>
      </c>
      <c r="O879" s="1">
        <v>1</v>
      </c>
      <c r="P879" s="1" t="b">
        <v>1</v>
      </c>
      <c r="S879" s="1">
        <f>R$7-E879</f>
        <v>105</v>
      </c>
      <c r="T879" s="1">
        <f t="shared" si="64"/>
        <v>1</v>
      </c>
      <c r="U879" s="1">
        <f t="shared" si="65"/>
        <v>105</v>
      </c>
    </row>
    <row r="880" spans="1:21" x14ac:dyDescent="0.25">
      <c r="A880" s="1" t="s">
        <v>1875</v>
      </c>
      <c r="B880" s="1" t="s">
        <v>1859</v>
      </c>
      <c r="C880" s="1" t="s">
        <v>48</v>
      </c>
      <c r="D880" s="2">
        <v>46189</v>
      </c>
      <c r="E880" s="2">
        <v>46226</v>
      </c>
      <c r="H880" s="1" t="s">
        <v>42</v>
      </c>
      <c r="I880" s="1">
        <v>0</v>
      </c>
      <c r="J880" s="1">
        <v>7674677</v>
      </c>
      <c r="L880" s="1" t="s">
        <v>1876</v>
      </c>
      <c r="M880" s="1" t="s">
        <v>1876</v>
      </c>
      <c r="N880" s="1" t="s">
        <v>22</v>
      </c>
      <c r="O880" s="1">
        <v>1</v>
      </c>
      <c r="P880" s="1" t="b">
        <v>1</v>
      </c>
      <c r="S880" s="1">
        <f>R$7-E880</f>
        <v>68</v>
      </c>
      <c r="T880" s="1">
        <f t="shared" si="64"/>
        <v>1</v>
      </c>
      <c r="U880" s="1">
        <f t="shared" si="65"/>
        <v>68</v>
      </c>
    </row>
    <row r="881" spans="1:21" x14ac:dyDescent="0.25">
      <c r="A881" s="1" t="s">
        <v>1877</v>
      </c>
      <c r="B881" s="1" t="s">
        <v>1859</v>
      </c>
      <c r="C881" s="1" t="s">
        <v>51</v>
      </c>
      <c r="D881" s="2">
        <v>46226</v>
      </c>
      <c r="E881" s="2">
        <v>46251</v>
      </c>
      <c r="H881" s="1" t="s">
        <v>42</v>
      </c>
      <c r="I881" s="1">
        <v>0</v>
      </c>
      <c r="J881" s="1">
        <v>5116451</v>
      </c>
      <c r="L881" s="1" t="s">
        <v>1878</v>
      </c>
      <c r="M881" s="1" t="s">
        <v>1878</v>
      </c>
      <c r="N881" s="1" t="s">
        <v>22</v>
      </c>
      <c r="O881" s="1">
        <v>1</v>
      </c>
      <c r="P881" s="1" t="b">
        <v>1</v>
      </c>
      <c r="S881" s="1">
        <f>R$7-E881</f>
        <v>43</v>
      </c>
      <c r="T881" s="1">
        <f t="shared" si="64"/>
        <v>1</v>
      </c>
      <c r="U881" s="1">
        <f t="shared" si="65"/>
        <v>43</v>
      </c>
    </row>
    <row r="882" spans="1:21" x14ac:dyDescent="0.25">
      <c r="A882" s="1" t="s">
        <v>1879</v>
      </c>
      <c r="B882" s="1" t="s">
        <v>1880</v>
      </c>
      <c r="C882" s="1" t="s">
        <v>19</v>
      </c>
      <c r="D882" s="2">
        <v>45331</v>
      </c>
      <c r="E882" s="2">
        <v>45400</v>
      </c>
      <c r="F882" s="2">
        <v>45331</v>
      </c>
      <c r="G882" s="2">
        <v>45400</v>
      </c>
      <c r="H882" s="1" t="s">
        <v>20</v>
      </c>
      <c r="I882" s="1">
        <v>100</v>
      </c>
      <c r="J882" s="1">
        <v>8562407</v>
      </c>
      <c r="L882" s="1" t="s">
        <v>1881</v>
      </c>
      <c r="M882" s="1" t="s">
        <v>1881</v>
      </c>
      <c r="N882" s="1" t="s">
        <v>22</v>
      </c>
      <c r="O882" s="1">
        <v>1</v>
      </c>
      <c r="P882" s="1" t="b">
        <v>1</v>
      </c>
      <c r="R882" s="1">
        <f>G882-E882</f>
        <v>0</v>
      </c>
      <c r="T882" s="1">
        <f t="shared" si="64"/>
        <v>0</v>
      </c>
      <c r="U882" s="1">
        <f t="shared" si="65"/>
        <v>0</v>
      </c>
    </row>
    <row r="883" spans="1:21" x14ac:dyDescent="0.25">
      <c r="A883" s="1" t="s">
        <v>1882</v>
      </c>
      <c r="B883" s="1" t="s">
        <v>1880</v>
      </c>
      <c r="C883" s="1" t="s">
        <v>24</v>
      </c>
      <c r="D883" s="2">
        <v>45400</v>
      </c>
      <c r="E883" s="2">
        <v>45538</v>
      </c>
      <c r="F883" s="2">
        <v>45400</v>
      </c>
      <c r="G883" s="2">
        <v>45538</v>
      </c>
      <c r="H883" s="1" t="s">
        <v>20</v>
      </c>
      <c r="I883" s="1">
        <v>100</v>
      </c>
      <c r="J883" s="1">
        <v>17124815</v>
      </c>
      <c r="L883" s="1" t="s">
        <v>1883</v>
      </c>
      <c r="M883" s="1" t="s">
        <v>1883</v>
      </c>
      <c r="N883" s="1" t="s">
        <v>22</v>
      </c>
      <c r="O883" s="1">
        <v>1</v>
      </c>
      <c r="P883" s="1" t="b">
        <v>1</v>
      </c>
      <c r="R883" s="1">
        <f>G883-E883</f>
        <v>0</v>
      </c>
      <c r="T883" s="1">
        <f t="shared" si="64"/>
        <v>0</v>
      </c>
      <c r="U883" s="1">
        <f t="shared" si="65"/>
        <v>0</v>
      </c>
    </row>
    <row r="884" spans="1:21" x14ac:dyDescent="0.25">
      <c r="A884" s="1" t="s">
        <v>1884</v>
      </c>
      <c r="B884" s="1" t="s">
        <v>1880</v>
      </c>
      <c r="C884" s="1" t="s">
        <v>27</v>
      </c>
      <c r="D884" s="2">
        <v>45538</v>
      </c>
      <c r="E884" s="2">
        <v>45703</v>
      </c>
      <c r="F884" s="2">
        <v>45538</v>
      </c>
      <c r="G884" s="2">
        <v>45703</v>
      </c>
      <c r="H884" s="1" t="s">
        <v>20</v>
      </c>
      <c r="I884" s="1">
        <v>100</v>
      </c>
      <c r="J884" s="1">
        <v>20549778</v>
      </c>
      <c r="L884" s="1" t="s">
        <v>1885</v>
      </c>
      <c r="M884" s="1" t="s">
        <v>1885</v>
      </c>
      <c r="N884" s="1" t="s">
        <v>22</v>
      </c>
      <c r="O884" s="1">
        <v>1</v>
      </c>
      <c r="P884" s="1" t="b">
        <v>1</v>
      </c>
      <c r="Q884" s="1" t="s">
        <v>29</v>
      </c>
      <c r="R884" s="1">
        <f>G884-E884</f>
        <v>0</v>
      </c>
      <c r="T884" s="1">
        <f t="shared" si="64"/>
        <v>0</v>
      </c>
      <c r="U884" s="1">
        <f t="shared" si="65"/>
        <v>0</v>
      </c>
    </row>
    <row r="885" spans="1:21" x14ac:dyDescent="0.25">
      <c r="A885" s="1" t="s">
        <v>1886</v>
      </c>
      <c r="B885" s="1" t="s">
        <v>1880</v>
      </c>
      <c r="C885" s="1" t="s">
        <v>31</v>
      </c>
      <c r="D885" s="2">
        <v>45703</v>
      </c>
      <c r="E885" s="2">
        <v>45910</v>
      </c>
      <c r="F885" s="2">
        <v>45703</v>
      </c>
      <c r="G885" s="2">
        <v>45910</v>
      </c>
      <c r="H885" s="1" t="s">
        <v>20</v>
      </c>
      <c r="I885" s="1">
        <v>100</v>
      </c>
      <c r="J885" s="1">
        <v>25687223</v>
      </c>
      <c r="L885" s="1" t="s">
        <v>1887</v>
      </c>
      <c r="M885" s="1" t="s">
        <v>1887</v>
      </c>
      <c r="N885" s="1" t="s">
        <v>22</v>
      </c>
      <c r="O885" s="1">
        <v>1</v>
      </c>
      <c r="P885" s="1" t="b">
        <v>1</v>
      </c>
      <c r="R885" s="1">
        <f>G885-E885</f>
        <v>0</v>
      </c>
      <c r="T885" s="1">
        <f t="shared" si="64"/>
        <v>0</v>
      </c>
      <c r="U885" s="1">
        <f t="shared" si="65"/>
        <v>0</v>
      </c>
    </row>
    <row r="886" spans="1:21" x14ac:dyDescent="0.25">
      <c r="A886" s="1" t="s">
        <v>1888</v>
      </c>
      <c r="B886" s="1" t="s">
        <v>1880</v>
      </c>
      <c r="C886" s="1" t="s">
        <v>34</v>
      </c>
      <c r="D886" s="2">
        <v>45910</v>
      </c>
      <c r="E886" s="2">
        <v>46255</v>
      </c>
      <c r="F886" s="2">
        <v>45910</v>
      </c>
      <c r="H886" s="1" t="s">
        <v>38</v>
      </c>
      <c r="I886" s="1">
        <v>48</v>
      </c>
      <c r="J886" s="1">
        <v>42812039</v>
      </c>
      <c r="L886" s="1" t="s">
        <v>1889</v>
      </c>
      <c r="M886" s="1" t="s">
        <v>1889</v>
      </c>
      <c r="N886" s="1" t="s">
        <v>22</v>
      </c>
      <c r="O886" s="1">
        <v>1</v>
      </c>
      <c r="P886" s="1" t="b">
        <v>1</v>
      </c>
      <c r="Q886" s="1" t="s">
        <v>29</v>
      </c>
      <c r="S886" s="1">
        <f t="shared" ref="S886:S891" si="66">R$7-E886</f>
        <v>39</v>
      </c>
      <c r="T886" s="1">
        <f t="shared" si="64"/>
        <v>1</v>
      </c>
      <c r="U886" s="1">
        <f t="shared" si="65"/>
        <v>39</v>
      </c>
    </row>
    <row r="887" spans="1:21" x14ac:dyDescent="0.25">
      <c r="A887" s="1" t="s">
        <v>1890</v>
      </c>
      <c r="B887" s="1" t="s">
        <v>1880</v>
      </c>
      <c r="C887" s="1" t="s">
        <v>37</v>
      </c>
      <c r="D887" s="2">
        <v>46255</v>
      </c>
      <c r="E887" s="2">
        <v>46393</v>
      </c>
      <c r="H887" s="1" t="s">
        <v>42</v>
      </c>
      <c r="I887" s="1">
        <v>0</v>
      </c>
      <c r="J887" s="1">
        <v>17124815</v>
      </c>
      <c r="L887" s="1" t="s">
        <v>1891</v>
      </c>
      <c r="M887" s="1" t="s">
        <v>1891</v>
      </c>
      <c r="N887" s="1" t="s">
        <v>22</v>
      </c>
      <c r="O887" s="1">
        <v>1</v>
      </c>
      <c r="P887" s="1" t="b">
        <v>1</v>
      </c>
      <c r="S887" s="1">
        <f t="shared" si="66"/>
        <v>-99</v>
      </c>
      <c r="T887" s="1">
        <f t="shared" si="64"/>
        <v>0</v>
      </c>
      <c r="U887" s="1">
        <f t="shared" si="65"/>
        <v>0</v>
      </c>
    </row>
    <row r="888" spans="1:21" x14ac:dyDescent="0.25">
      <c r="A888" s="1" t="s">
        <v>1892</v>
      </c>
      <c r="B888" s="1" t="s">
        <v>1880</v>
      </c>
      <c r="C888" s="1" t="s">
        <v>41</v>
      </c>
      <c r="D888" s="2">
        <v>46393</v>
      </c>
      <c r="E888" s="2">
        <v>46503</v>
      </c>
      <c r="H888" s="1" t="s">
        <v>42</v>
      </c>
      <c r="I888" s="1">
        <v>0</v>
      </c>
      <c r="J888" s="1">
        <v>13699852</v>
      </c>
      <c r="L888" s="1" t="s">
        <v>1893</v>
      </c>
      <c r="M888" s="1" t="s">
        <v>1893</v>
      </c>
      <c r="N888" s="1" t="s">
        <v>22</v>
      </c>
      <c r="O888" s="1">
        <v>1</v>
      </c>
      <c r="P888" s="1" t="b">
        <v>1</v>
      </c>
      <c r="S888" s="1">
        <f t="shared" si="66"/>
        <v>-209</v>
      </c>
      <c r="T888" s="1">
        <f t="shared" si="64"/>
        <v>0</v>
      </c>
      <c r="U888" s="1">
        <f t="shared" si="65"/>
        <v>0</v>
      </c>
    </row>
    <row r="889" spans="1:21" x14ac:dyDescent="0.25">
      <c r="A889" s="1" t="s">
        <v>1894</v>
      </c>
      <c r="B889" s="1" t="s">
        <v>1880</v>
      </c>
      <c r="C889" s="1" t="s">
        <v>45</v>
      </c>
      <c r="D889" s="2">
        <v>46503</v>
      </c>
      <c r="E889" s="2">
        <v>46641</v>
      </c>
      <c r="H889" s="1" t="s">
        <v>42</v>
      </c>
      <c r="I889" s="1">
        <v>0</v>
      </c>
      <c r="J889" s="1">
        <v>17124815</v>
      </c>
      <c r="L889" s="1" t="s">
        <v>1895</v>
      </c>
      <c r="M889" s="1" t="s">
        <v>1895</v>
      </c>
      <c r="N889" s="1" t="s">
        <v>22</v>
      </c>
      <c r="O889" s="1">
        <v>1</v>
      </c>
      <c r="P889" s="1" t="b">
        <v>1</v>
      </c>
      <c r="S889" s="1">
        <f t="shared" si="66"/>
        <v>-347</v>
      </c>
      <c r="T889" s="1">
        <f t="shared" si="64"/>
        <v>0</v>
      </c>
      <c r="U889" s="1">
        <f t="shared" si="65"/>
        <v>0</v>
      </c>
    </row>
    <row r="890" spans="1:21" x14ac:dyDescent="0.25">
      <c r="A890" s="1" t="s">
        <v>1896</v>
      </c>
      <c r="B890" s="1" t="s">
        <v>1880</v>
      </c>
      <c r="C890" s="1" t="s">
        <v>48</v>
      </c>
      <c r="D890" s="2">
        <v>46641</v>
      </c>
      <c r="E890" s="2">
        <v>46682</v>
      </c>
      <c r="H890" s="1" t="s">
        <v>42</v>
      </c>
      <c r="I890" s="1">
        <v>0</v>
      </c>
      <c r="J890" s="1">
        <v>5137444</v>
      </c>
      <c r="L890" s="1" t="s">
        <v>1897</v>
      </c>
      <c r="M890" s="1" t="s">
        <v>1897</v>
      </c>
      <c r="N890" s="1" t="s">
        <v>22</v>
      </c>
      <c r="O890" s="1">
        <v>1</v>
      </c>
      <c r="P890" s="1" t="b">
        <v>1</v>
      </c>
      <c r="S890" s="1">
        <f t="shared" si="66"/>
        <v>-388</v>
      </c>
      <c r="T890" s="1">
        <f t="shared" si="64"/>
        <v>0</v>
      </c>
      <c r="U890" s="1">
        <f t="shared" si="65"/>
        <v>0</v>
      </c>
    </row>
    <row r="891" spans="1:21" x14ac:dyDescent="0.25">
      <c r="A891" s="1" t="s">
        <v>1898</v>
      </c>
      <c r="B891" s="1" t="s">
        <v>1880</v>
      </c>
      <c r="C891" s="1" t="s">
        <v>51</v>
      </c>
      <c r="D891" s="2">
        <v>46682</v>
      </c>
      <c r="E891" s="2">
        <v>46709</v>
      </c>
      <c r="H891" s="1" t="s">
        <v>42</v>
      </c>
      <c r="I891" s="1">
        <v>0</v>
      </c>
      <c r="J891" s="1">
        <v>3424963</v>
      </c>
      <c r="L891" s="1" t="s">
        <v>1899</v>
      </c>
      <c r="M891" s="1" t="s">
        <v>1899</v>
      </c>
      <c r="N891" s="1" t="s">
        <v>22</v>
      </c>
      <c r="O891" s="1">
        <v>1</v>
      </c>
      <c r="P891" s="1" t="b">
        <v>1</v>
      </c>
      <c r="S891" s="1">
        <f t="shared" si="66"/>
        <v>-415</v>
      </c>
      <c r="T891" s="1">
        <f t="shared" si="64"/>
        <v>0</v>
      </c>
      <c r="U891" s="1">
        <f t="shared" si="65"/>
        <v>0</v>
      </c>
    </row>
    <row r="892" spans="1:21" x14ac:dyDescent="0.25">
      <c r="A892" s="1" t="s">
        <v>1900</v>
      </c>
      <c r="B892" s="1" t="s">
        <v>1901</v>
      </c>
      <c r="C892" s="1" t="s">
        <v>19</v>
      </c>
      <c r="D892" s="2">
        <v>45689</v>
      </c>
      <c r="E892" s="2">
        <v>45734</v>
      </c>
      <c r="F892" s="2">
        <v>45689</v>
      </c>
      <c r="G892" s="2">
        <v>45734</v>
      </c>
      <c r="H892" s="1" t="s">
        <v>20</v>
      </c>
      <c r="I892" s="1">
        <v>100</v>
      </c>
      <c r="J892" s="1">
        <v>12844936</v>
      </c>
      <c r="L892" s="1" t="s">
        <v>1902</v>
      </c>
      <c r="M892" s="1" t="s">
        <v>1902</v>
      </c>
      <c r="N892" s="1" t="s">
        <v>22</v>
      </c>
      <c r="O892" s="1">
        <v>1</v>
      </c>
      <c r="P892" s="1" t="b">
        <v>1</v>
      </c>
      <c r="R892" s="1">
        <f>G892-E892</f>
        <v>0</v>
      </c>
      <c r="T892" s="1">
        <f t="shared" si="64"/>
        <v>0</v>
      </c>
      <c r="U892" s="1">
        <f t="shared" si="65"/>
        <v>0</v>
      </c>
    </row>
    <row r="893" spans="1:21" x14ac:dyDescent="0.25">
      <c r="A893" s="1" t="s">
        <v>1903</v>
      </c>
      <c r="B893" s="1" t="s">
        <v>1901</v>
      </c>
      <c r="C893" s="1" t="s">
        <v>24</v>
      </c>
      <c r="D893" s="2">
        <v>45734</v>
      </c>
      <c r="E893" s="2">
        <v>45824</v>
      </c>
      <c r="F893" s="2">
        <v>45734</v>
      </c>
      <c r="G893" s="2">
        <v>45824</v>
      </c>
      <c r="H893" s="1" t="s">
        <v>20</v>
      </c>
      <c r="I893" s="1">
        <v>100</v>
      </c>
      <c r="J893" s="1">
        <v>25689873</v>
      </c>
      <c r="L893" s="1" t="s">
        <v>1904</v>
      </c>
      <c r="M893" s="1" t="s">
        <v>1904</v>
      </c>
      <c r="N893" s="1" t="s">
        <v>22</v>
      </c>
      <c r="O893" s="1">
        <v>1</v>
      </c>
      <c r="P893" s="1" t="b">
        <v>1</v>
      </c>
      <c r="R893" s="1">
        <f>G893-E893</f>
        <v>0</v>
      </c>
      <c r="T893" s="1">
        <f t="shared" si="64"/>
        <v>0</v>
      </c>
      <c r="U893" s="1">
        <f t="shared" si="65"/>
        <v>0</v>
      </c>
    </row>
    <row r="894" spans="1:21" x14ac:dyDescent="0.25">
      <c r="A894" s="1" t="s">
        <v>1905</v>
      </c>
      <c r="B894" s="1" t="s">
        <v>1901</v>
      </c>
      <c r="C894" s="1" t="s">
        <v>27</v>
      </c>
      <c r="D894" s="2">
        <v>45824</v>
      </c>
      <c r="E894" s="2">
        <v>45932</v>
      </c>
      <c r="F894" s="2">
        <v>45824</v>
      </c>
      <c r="G894" s="2">
        <v>45932</v>
      </c>
      <c r="H894" s="1" t="s">
        <v>20</v>
      </c>
      <c r="I894" s="1">
        <v>100</v>
      </c>
      <c r="J894" s="1">
        <v>30827847</v>
      </c>
      <c r="L894" s="1" t="s">
        <v>1906</v>
      </c>
      <c r="M894" s="1" t="s">
        <v>1906</v>
      </c>
      <c r="N894" s="1" t="s">
        <v>22</v>
      </c>
      <c r="O894" s="1">
        <v>1</v>
      </c>
      <c r="P894" s="1" t="b">
        <v>1</v>
      </c>
      <c r="Q894" s="1" t="s">
        <v>29</v>
      </c>
      <c r="R894" s="1">
        <f>G894-E894</f>
        <v>0</v>
      </c>
      <c r="T894" s="1">
        <f t="shared" si="64"/>
        <v>0</v>
      </c>
      <c r="U894" s="1">
        <f t="shared" si="65"/>
        <v>0</v>
      </c>
    </row>
    <row r="895" spans="1:21" x14ac:dyDescent="0.25">
      <c r="A895" s="1" t="s">
        <v>1907</v>
      </c>
      <c r="B895" s="1" t="s">
        <v>1901</v>
      </c>
      <c r="C895" s="1" t="s">
        <v>31</v>
      </c>
      <c r="D895" s="2">
        <v>45932</v>
      </c>
      <c r="E895" s="2">
        <v>46067</v>
      </c>
      <c r="F895" s="2">
        <v>45932</v>
      </c>
      <c r="G895" s="2">
        <v>46067</v>
      </c>
      <c r="H895" s="1" t="s">
        <v>20</v>
      </c>
      <c r="I895" s="1">
        <v>100</v>
      </c>
      <c r="J895" s="1">
        <v>38534809</v>
      </c>
      <c r="L895" s="1" t="s">
        <v>1908</v>
      </c>
      <c r="M895" s="1" t="s">
        <v>1908</v>
      </c>
      <c r="N895" s="1" t="s">
        <v>22</v>
      </c>
      <c r="O895" s="1">
        <v>1</v>
      </c>
      <c r="P895" s="1" t="b">
        <v>1</v>
      </c>
      <c r="R895" s="1">
        <f>G895-E895</f>
        <v>0</v>
      </c>
      <c r="T895" s="1">
        <f t="shared" si="64"/>
        <v>0</v>
      </c>
      <c r="U895" s="1">
        <f t="shared" si="65"/>
        <v>0</v>
      </c>
    </row>
    <row r="896" spans="1:21" x14ac:dyDescent="0.25">
      <c r="A896" s="1" t="s">
        <v>1909</v>
      </c>
      <c r="B896" s="1" t="s">
        <v>1901</v>
      </c>
      <c r="C896" s="1" t="s">
        <v>34</v>
      </c>
      <c r="D896" s="2">
        <v>46067</v>
      </c>
      <c r="E896" s="2">
        <v>46292</v>
      </c>
      <c r="F896" s="2">
        <v>46067</v>
      </c>
      <c r="H896" s="1" t="s">
        <v>38</v>
      </c>
      <c r="I896" s="1">
        <v>61</v>
      </c>
      <c r="J896" s="1">
        <v>64224683</v>
      </c>
      <c r="L896" s="1" t="s">
        <v>1910</v>
      </c>
      <c r="M896" s="1" t="s">
        <v>1910</v>
      </c>
      <c r="N896" s="1" t="s">
        <v>22</v>
      </c>
      <c r="O896" s="1">
        <v>1</v>
      </c>
      <c r="P896" s="1" t="b">
        <v>1</v>
      </c>
      <c r="Q896" s="1" t="s">
        <v>29</v>
      </c>
      <c r="S896" s="1">
        <f t="shared" ref="S896:S901" si="67">R$7-E896</f>
        <v>2</v>
      </c>
      <c r="T896" s="1">
        <f t="shared" si="64"/>
        <v>1</v>
      </c>
      <c r="U896" s="1">
        <f t="shared" si="65"/>
        <v>2</v>
      </c>
    </row>
    <row r="897" spans="1:21" x14ac:dyDescent="0.25">
      <c r="A897" s="1" t="s">
        <v>1911</v>
      </c>
      <c r="B897" s="1" t="s">
        <v>1901</v>
      </c>
      <c r="C897" s="1" t="s">
        <v>37</v>
      </c>
      <c r="D897" s="2">
        <v>46292</v>
      </c>
      <c r="E897" s="2">
        <v>46382</v>
      </c>
      <c r="H897" s="1" t="s">
        <v>42</v>
      </c>
      <c r="I897" s="1">
        <v>0</v>
      </c>
      <c r="J897" s="1">
        <v>25689873</v>
      </c>
      <c r="L897" s="1" t="s">
        <v>1912</v>
      </c>
      <c r="M897" s="1" t="s">
        <v>1912</v>
      </c>
      <c r="N897" s="1" t="s">
        <v>22</v>
      </c>
      <c r="O897" s="1">
        <v>1</v>
      </c>
      <c r="P897" s="1" t="b">
        <v>1</v>
      </c>
      <c r="S897" s="1">
        <f t="shared" si="67"/>
        <v>-88</v>
      </c>
      <c r="T897" s="1">
        <f t="shared" si="64"/>
        <v>0</v>
      </c>
      <c r="U897" s="1">
        <f t="shared" si="65"/>
        <v>0</v>
      </c>
    </row>
    <row r="898" spans="1:21" x14ac:dyDescent="0.25">
      <c r="A898" s="1" t="s">
        <v>1913</v>
      </c>
      <c r="B898" s="1" t="s">
        <v>1901</v>
      </c>
      <c r="C898" s="1" t="s">
        <v>41</v>
      </c>
      <c r="D898" s="2">
        <v>46382</v>
      </c>
      <c r="E898" s="2">
        <v>46454</v>
      </c>
      <c r="H898" s="1" t="s">
        <v>42</v>
      </c>
      <c r="I898" s="1">
        <v>0</v>
      </c>
      <c r="J898" s="1">
        <v>20551898</v>
      </c>
      <c r="L898" s="1" t="s">
        <v>1914</v>
      </c>
      <c r="M898" s="1" t="s">
        <v>1914</v>
      </c>
      <c r="N898" s="1" t="s">
        <v>22</v>
      </c>
      <c r="O898" s="1">
        <v>1</v>
      </c>
      <c r="P898" s="1" t="b">
        <v>1</v>
      </c>
      <c r="S898" s="1">
        <f t="shared" si="67"/>
        <v>-160</v>
      </c>
      <c r="T898" s="1">
        <f t="shared" si="64"/>
        <v>0</v>
      </c>
      <c r="U898" s="1">
        <f t="shared" si="65"/>
        <v>0</v>
      </c>
    </row>
    <row r="899" spans="1:21" x14ac:dyDescent="0.25">
      <c r="A899" s="1" t="s">
        <v>1915</v>
      </c>
      <c r="B899" s="1" t="s">
        <v>1901</v>
      </c>
      <c r="C899" s="1" t="s">
        <v>45</v>
      </c>
      <c r="D899" s="2">
        <v>46454</v>
      </c>
      <c r="E899" s="2">
        <v>46544</v>
      </c>
      <c r="H899" s="1" t="s">
        <v>42</v>
      </c>
      <c r="I899" s="1">
        <v>0</v>
      </c>
      <c r="J899" s="1">
        <v>25689873</v>
      </c>
      <c r="L899" s="1" t="s">
        <v>1916</v>
      </c>
      <c r="M899" s="1" t="s">
        <v>1916</v>
      </c>
      <c r="N899" s="1" t="s">
        <v>22</v>
      </c>
      <c r="O899" s="1">
        <v>1</v>
      </c>
      <c r="P899" s="1" t="b">
        <v>1</v>
      </c>
      <c r="S899" s="1">
        <f t="shared" si="67"/>
        <v>-250</v>
      </c>
      <c r="T899" s="1">
        <f t="shared" ref="T899:T962" si="68">IF(S899&gt;0,1,0)</f>
        <v>0</v>
      </c>
      <c r="U899" s="1">
        <f t="shared" ref="U899:U962" si="69">IF(S899&gt;0,S899,0)</f>
        <v>0</v>
      </c>
    </row>
    <row r="900" spans="1:21" x14ac:dyDescent="0.25">
      <c r="A900" s="1" t="s">
        <v>1917</v>
      </c>
      <c r="B900" s="1" t="s">
        <v>1901</v>
      </c>
      <c r="C900" s="1" t="s">
        <v>48</v>
      </c>
      <c r="D900" s="2">
        <v>46544</v>
      </c>
      <c r="E900" s="2">
        <v>46571</v>
      </c>
      <c r="H900" s="1" t="s">
        <v>42</v>
      </c>
      <c r="I900" s="1">
        <v>0</v>
      </c>
      <c r="J900" s="1">
        <v>7706961</v>
      </c>
      <c r="L900" s="1" t="s">
        <v>1918</v>
      </c>
      <c r="M900" s="1" t="s">
        <v>1918</v>
      </c>
      <c r="N900" s="1" t="s">
        <v>22</v>
      </c>
      <c r="O900" s="1">
        <v>1</v>
      </c>
      <c r="P900" s="1" t="b">
        <v>1</v>
      </c>
      <c r="S900" s="1">
        <f t="shared" si="67"/>
        <v>-277</v>
      </c>
      <c r="T900" s="1">
        <f t="shared" si="68"/>
        <v>0</v>
      </c>
      <c r="U900" s="1">
        <f t="shared" si="69"/>
        <v>0</v>
      </c>
    </row>
    <row r="901" spans="1:21" x14ac:dyDescent="0.25">
      <c r="A901" s="1" t="s">
        <v>1919</v>
      </c>
      <c r="B901" s="1" t="s">
        <v>1901</v>
      </c>
      <c r="C901" s="1" t="s">
        <v>51</v>
      </c>
      <c r="D901" s="2">
        <v>46571</v>
      </c>
      <c r="E901" s="2">
        <v>46589</v>
      </c>
      <c r="H901" s="1" t="s">
        <v>42</v>
      </c>
      <c r="I901" s="1">
        <v>0</v>
      </c>
      <c r="J901" s="1">
        <v>5137974</v>
      </c>
      <c r="L901" s="1" t="s">
        <v>1920</v>
      </c>
      <c r="M901" s="1" t="s">
        <v>1920</v>
      </c>
      <c r="N901" s="1" t="s">
        <v>22</v>
      </c>
      <c r="O901" s="1">
        <v>1</v>
      </c>
      <c r="P901" s="1" t="b">
        <v>1</v>
      </c>
      <c r="S901" s="1">
        <f t="shared" si="67"/>
        <v>-295</v>
      </c>
      <c r="T901" s="1">
        <f t="shared" si="68"/>
        <v>0</v>
      </c>
      <c r="U901" s="1">
        <f t="shared" si="69"/>
        <v>0</v>
      </c>
    </row>
    <row r="902" spans="1:21" x14ac:dyDescent="0.25">
      <c r="A902" s="1" t="s">
        <v>1921</v>
      </c>
      <c r="B902" s="1" t="s">
        <v>1922</v>
      </c>
      <c r="C902" s="1" t="s">
        <v>19</v>
      </c>
      <c r="D902" s="2">
        <v>45660</v>
      </c>
      <c r="E902" s="2">
        <v>45696</v>
      </c>
      <c r="F902" s="2">
        <v>45660</v>
      </c>
      <c r="G902" s="2">
        <v>45696</v>
      </c>
      <c r="H902" s="1" t="s">
        <v>20</v>
      </c>
      <c r="I902" s="1">
        <v>100</v>
      </c>
      <c r="J902" s="1">
        <v>11302450</v>
      </c>
      <c r="L902" s="1" t="s">
        <v>1923</v>
      </c>
      <c r="M902" s="1" t="s">
        <v>1923</v>
      </c>
      <c r="N902" s="1" t="s">
        <v>22</v>
      </c>
      <c r="O902" s="1">
        <v>1</v>
      </c>
      <c r="P902" s="1" t="b">
        <v>1</v>
      </c>
      <c r="R902" s="1">
        <f>G902-E902</f>
        <v>0</v>
      </c>
      <c r="T902" s="1">
        <f t="shared" si="68"/>
        <v>0</v>
      </c>
      <c r="U902" s="1">
        <f t="shared" si="69"/>
        <v>0</v>
      </c>
    </row>
    <row r="903" spans="1:21" x14ac:dyDescent="0.25">
      <c r="A903" s="1" t="s">
        <v>1924</v>
      </c>
      <c r="B903" s="1" t="s">
        <v>1922</v>
      </c>
      <c r="C903" s="1" t="s">
        <v>24</v>
      </c>
      <c r="D903" s="2">
        <v>45696</v>
      </c>
      <c r="E903" s="2">
        <v>45768</v>
      </c>
      <c r="F903" s="2">
        <v>45696</v>
      </c>
      <c r="G903" s="2">
        <v>45768</v>
      </c>
      <c r="H903" s="1" t="s">
        <v>20</v>
      </c>
      <c r="I903" s="1">
        <v>100</v>
      </c>
      <c r="J903" s="1">
        <v>22604900</v>
      </c>
      <c r="L903" s="1" t="s">
        <v>1925</v>
      </c>
      <c r="M903" s="1" t="s">
        <v>1925</v>
      </c>
      <c r="N903" s="1" t="s">
        <v>22</v>
      </c>
      <c r="O903" s="1">
        <v>1</v>
      </c>
      <c r="P903" s="1" t="b">
        <v>1</v>
      </c>
      <c r="R903" s="1">
        <f>G903-E903</f>
        <v>0</v>
      </c>
      <c r="T903" s="1">
        <f t="shared" si="68"/>
        <v>0</v>
      </c>
      <c r="U903" s="1">
        <f t="shared" si="69"/>
        <v>0</v>
      </c>
    </row>
    <row r="904" spans="1:21" x14ac:dyDescent="0.25">
      <c r="A904" s="1" t="s">
        <v>1926</v>
      </c>
      <c r="B904" s="1" t="s">
        <v>1922</v>
      </c>
      <c r="C904" s="1" t="s">
        <v>27</v>
      </c>
      <c r="D904" s="2">
        <v>45768</v>
      </c>
      <c r="E904" s="2">
        <v>45854</v>
      </c>
      <c r="F904" s="2">
        <v>45768</v>
      </c>
      <c r="G904" s="2">
        <v>45854</v>
      </c>
      <c r="H904" s="1" t="s">
        <v>20</v>
      </c>
      <c r="I904" s="1">
        <v>100</v>
      </c>
      <c r="J904" s="1">
        <v>27125880</v>
      </c>
      <c r="L904" s="1" t="s">
        <v>1927</v>
      </c>
      <c r="M904" s="1" t="s">
        <v>1927</v>
      </c>
      <c r="N904" s="1" t="s">
        <v>22</v>
      </c>
      <c r="O904" s="1">
        <v>1</v>
      </c>
      <c r="P904" s="1" t="b">
        <v>1</v>
      </c>
      <c r="Q904" s="1" t="s">
        <v>29</v>
      </c>
      <c r="R904" s="1">
        <f>G904-E904</f>
        <v>0</v>
      </c>
      <c r="T904" s="1">
        <f t="shared" si="68"/>
        <v>0</v>
      </c>
      <c r="U904" s="1">
        <f t="shared" si="69"/>
        <v>0</v>
      </c>
    </row>
    <row r="905" spans="1:21" x14ac:dyDescent="0.25">
      <c r="A905" s="1" t="s">
        <v>1928</v>
      </c>
      <c r="B905" s="1" t="s">
        <v>1922</v>
      </c>
      <c r="C905" s="1" t="s">
        <v>31</v>
      </c>
      <c r="D905" s="2">
        <v>45854</v>
      </c>
      <c r="E905" s="2">
        <v>45962</v>
      </c>
      <c r="F905" s="2">
        <v>45854</v>
      </c>
      <c r="G905" s="2">
        <v>45962</v>
      </c>
      <c r="H905" s="1" t="s">
        <v>20</v>
      </c>
      <c r="I905" s="1">
        <v>100</v>
      </c>
      <c r="J905" s="1">
        <v>33907351</v>
      </c>
      <c r="L905" s="1" t="s">
        <v>1929</v>
      </c>
      <c r="M905" s="1" t="s">
        <v>1929</v>
      </c>
      <c r="N905" s="1" t="s">
        <v>22</v>
      </c>
      <c r="O905" s="1">
        <v>1</v>
      </c>
      <c r="P905" s="1" t="b">
        <v>1</v>
      </c>
      <c r="R905" s="1">
        <f>G905-E905</f>
        <v>0</v>
      </c>
      <c r="T905" s="1">
        <f t="shared" si="68"/>
        <v>0</v>
      </c>
      <c r="U905" s="1">
        <f t="shared" si="69"/>
        <v>0</v>
      </c>
    </row>
    <row r="906" spans="1:21" x14ac:dyDescent="0.25">
      <c r="A906" s="1" t="s">
        <v>1930</v>
      </c>
      <c r="B906" s="1" t="s">
        <v>1922</v>
      </c>
      <c r="C906" s="1" t="s">
        <v>34</v>
      </c>
      <c r="D906" s="2">
        <v>45962</v>
      </c>
      <c r="E906" s="2">
        <v>46142</v>
      </c>
      <c r="F906" s="2">
        <v>45962</v>
      </c>
      <c r="H906" s="1" t="s">
        <v>38</v>
      </c>
      <c r="I906" s="1">
        <v>68</v>
      </c>
      <c r="J906" s="1">
        <v>56512252</v>
      </c>
      <c r="L906" s="1" t="s">
        <v>1931</v>
      </c>
      <c r="M906" s="1" t="s">
        <v>1931</v>
      </c>
      <c r="N906" s="1" t="s">
        <v>22</v>
      </c>
      <c r="O906" s="1">
        <v>1</v>
      </c>
      <c r="P906" s="1" t="b">
        <v>1</v>
      </c>
      <c r="Q906" s="1" t="s">
        <v>29</v>
      </c>
      <c r="S906" s="1">
        <f t="shared" ref="S906:S911" si="70">R$7-E906</f>
        <v>152</v>
      </c>
      <c r="T906" s="1">
        <f t="shared" si="68"/>
        <v>1</v>
      </c>
      <c r="U906" s="1">
        <f t="shared" si="69"/>
        <v>152</v>
      </c>
    </row>
    <row r="907" spans="1:21" x14ac:dyDescent="0.25">
      <c r="A907" s="1" t="s">
        <v>1932</v>
      </c>
      <c r="B907" s="1" t="s">
        <v>1922</v>
      </c>
      <c r="C907" s="1" t="s">
        <v>37</v>
      </c>
      <c r="D907" s="2">
        <v>46142</v>
      </c>
      <c r="E907" s="2">
        <v>46214</v>
      </c>
      <c r="H907" s="1" t="s">
        <v>42</v>
      </c>
      <c r="I907" s="1">
        <v>0</v>
      </c>
      <c r="J907" s="1">
        <v>22604900</v>
      </c>
      <c r="L907" s="1" t="s">
        <v>1933</v>
      </c>
      <c r="M907" s="1" t="s">
        <v>1933</v>
      </c>
      <c r="N907" s="1" t="s">
        <v>22</v>
      </c>
      <c r="O907" s="1">
        <v>1</v>
      </c>
      <c r="P907" s="1" t="b">
        <v>1</v>
      </c>
      <c r="S907" s="1">
        <f t="shared" si="70"/>
        <v>80</v>
      </c>
      <c r="T907" s="1">
        <f t="shared" si="68"/>
        <v>1</v>
      </c>
      <c r="U907" s="1">
        <f t="shared" si="69"/>
        <v>80</v>
      </c>
    </row>
    <row r="908" spans="1:21" x14ac:dyDescent="0.25">
      <c r="A908" s="1" t="s">
        <v>1934</v>
      </c>
      <c r="B908" s="1" t="s">
        <v>1922</v>
      </c>
      <c r="C908" s="1" t="s">
        <v>41</v>
      </c>
      <c r="D908" s="2">
        <v>46214</v>
      </c>
      <c r="E908" s="2">
        <v>46271</v>
      </c>
      <c r="H908" s="1" t="s">
        <v>42</v>
      </c>
      <c r="I908" s="1">
        <v>0</v>
      </c>
      <c r="J908" s="1">
        <v>18083920</v>
      </c>
      <c r="L908" s="1" t="s">
        <v>1935</v>
      </c>
      <c r="M908" s="1" t="s">
        <v>1935</v>
      </c>
      <c r="N908" s="1" t="s">
        <v>22</v>
      </c>
      <c r="O908" s="1">
        <v>1</v>
      </c>
      <c r="P908" s="1" t="b">
        <v>1</v>
      </c>
      <c r="S908" s="1">
        <f t="shared" si="70"/>
        <v>23</v>
      </c>
      <c r="T908" s="1">
        <f t="shared" si="68"/>
        <v>1</v>
      </c>
      <c r="U908" s="1">
        <f t="shared" si="69"/>
        <v>23</v>
      </c>
    </row>
    <row r="909" spans="1:21" x14ac:dyDescent="0.25">
      <c r="A909" s="1" t="s">
        <v>1936</v>
      </c>
      <c r="B909" s="1" t="s">
        <v>1922</v>
      </c>
      <c r="C909" s="1" t="s">
        <v>45</v>
      </c>
      <c r="D909" s="2">
        <v>46271</v>
      </c>
      <c r="E909" s="2">
        <v>46343</v>
      </c>
      <c r="H909" s="1" t="s">
        <v>42</v>
      </c>
      <c r="I909" s="1">
        <v>0</v>
      </c>
      <c r="J909" s="1">
        <v>22604900</v>
      </c>
      <c r="L909" s="1" t="s">
        <v>1937</v>
      </c>
      <c r="M909" s="1" t="s">
        <v>1937</v>
      </c>
      <c r="N909" s="1" t="s">
        <v>22</v>
      </c>
      <c r="O909" s="1">
        <v>1</v>
      </c>
      <c r="P909" s="1" t="b">
        <v>1</v>
      </c>
      <c r="S909" s="1">
        <f t="shared" si="70"/>
        <v>-49</v>
      </c>
      <c r="T909" s="1">
        <f t="shared" si="68"/>
        <v>0</v>
      </c>
      <c r="U909" s="1">
        <f t="shared" si="69"/>
        <v>0</v>
      </c>
    </row>
    <row r="910" spans="1:21" x14ac:dyDescent="0.25">
      <c r="A910" s="1" t="s">
        <v>1938</v>
      </c>
      <c r="B910" s="1" t="s">
        <v>1922</v>
      </c>
      <c r="C910" s="1" t="s">
        <v>48</v>
      </c>
      <c r="D910" s="2">
        <v>46343</v>
      </c>
      <c r="E910" s="2">
        <v>46364</v>
      </c>
      <c r="H910" s="1" t="s">
        <v>42</v>
      </c>
      <c r="I910" s="1">
        <v>0</v>
      </c>
      <c r="J910" s="1">
        <v>6781470</v>
      </c>
      <c r="L910" s="1" t="s">
        <v>1939</v>
      </c>
      <c r="M910" s="1" t="s">
        <v>1939</v>
      </c>
      <c r="N910" s="1" t="s">
        <v>22</v>
      </c>
      <c r="O910" s="1">
        <v>1</v>
      </c>
      <c r="P910" s="1" t="b">
        <v>1</v>
      </c>
      <c r="S910" s="1">
        <f t="shared" si="70"/>
        <v>-70</v>
      </c>
      <c r="T910" s="1">
        <f t="shared" si="68"/>
        <v>0</v>
      </c>
      <c r="U910" s="1">
        <f t="shared" si="69"/>
        <v>0</v>
      </c>
    </row>
    <row r="911" spans="1:21" x14ac:dyDescent="0.25">
      <c r="A911" s="1" t="s">
        <v>1940</v>
      </c>
      <c r="B911" s="1" t="s">
        <v>1922</v>
      </c>
      <c r="C911" s="1" t="s">
        <v>51</v>
      </c>
      <c r="D911" s="2">
        <v>46364</v>
      </c>
      <c r="E911" s="2">
        <v>46378</v>
      </c>
      <c r="H911" s="1" t="s">
        <v>42</v>
      </c>
      <c r="I911" s="1">
        <v>0</v>
      </c>
      <c r="J911" s="1">
        <v>4520980</v>
      </c>
      <c r="L911" s="1" t="s">
        <v>1941</v>
      </c>
      <c r="M911" s="1" t="s">
        <v>1941</v>
      </c>
      <c r="N911" s="1" t="s">
        <v>22</v>
      </c>
      <c r="O911" s="1">
        <v>1</v>
      </c>
      <c r="P911" s="1" t="b">
        <v>1</v>
      </c>
      <c r="S911" s="1">
        <f t="shared" si="70"/>
        <v>-84</v>
      </c>
      <c r="T911" s="1">
        <f t="shared" si="68"/>
        <v>0</v>
      </c>
      <c r="U911" s="1">
        <f t="shared" si="69"/>
        <v>0</v>
      </c>
    </row>
    <row r="912" spans="1:21" x14ac:dyDescent="0.25">
      <c r="A912" s="1" t="s">
        <v>1942</v>
      </c>
      <c r="B912" s="1" t="s">
        <v>1943</v>
      </c>
      <c r="C912" s="1" t="s">
        <v>19</v>
      </c>
      <c r="D912" s="2">
        <v>44943</v>
      </c>
      <c r="E912" s="2">
        <v>44986</v>
      </c>
      <c r="F912" s="2">
        <v>44943</v>
      </c>
      <c r="G912" s="2">
        <v>44986</v>
      </c>
      <c r="H912" s="1" t="s">
        <v>20</v>
      </c>
      <c r="I912" s="1">
        <v>100</v>
      </c>
      <c r="J912" s="1">
        <v>7891736</v>
      </c>
      <c r="L912" s="1" t="s">
        <v>1944</v>
      </c>
      <c r="M912" s="1" t="s">
        <v>1944</v>
      </c>
      <c r="N912" s="1" t="s">
        <v>22</v>
      </c>
      <c r="O912" s="1">
        <v>1</v>
      </c>
      <c r="P912" s="1" t="b">
        <v>1</v>
      </c>
      <c r="R912" s="1">
        <f t="shared" ref="R912:R962" si="71">G912-E912</f>
        <v>0</v>
      </c>
      <c r="T912" s="1">
        <f t="shared" si="68"/>
        <v>0</v>
      </c>
      <c r="U912" s="1">
        <f t="shared" si="69"/>
        <v>0</v>
      </c>
    </row>
    <row r="913" spans="1:21" x14ac:dyDescent="0.25">
      <c r="A913" s="1" t="s">
        <v>1945</v>
      </c>
      <c r="B913" s="1" t="s">
        <v>1943</v>
      </c>
      <c r="C913" s="1" t="s">
        <v>24</v>
      </c>
      <c r="D913" s="2">
        <v>44986</v>
      </c>
      <c r="E913" s="2">
        <v>45073</v>
      </c>
      <c r="F913" s="2">
        <v>44986</v>
      </c>
      <c r="G913" s="2">
        <v>45073</v>
      </c>
      <c r="H913" s="1" t="s">
        <v>20</v>
      </c>
      <c r="I913" s="1">
        <v>100</v>
      </c>
      <c r="J913" s="1">
        <v>15783472</v>
      </c>
      <c r="L913" s="1" t="s">
        <v>1946</v>
      </c>
      <c r="M913" s="1" t="s">
        <v>1946</v>
      </c>
      <c r="N913" s="1" t="s">
        <v>22</v>
      </c>
      <c r="O913" s="1">
        <v>1</v>
      </c>
      <c r="P913" s="1" t="b">
        <v>1</v>
      </c>
      <c r="R913" s="1">
        <f t="shared" si="71"/>
        <v>0</v>
      </c>
      <c r="T913" s="1">
        <f t="shared" si="68"/>
        <v>0</v>
      </c>
      <c r="U913" s="1">
        <f t="shared" si="69"/>
        <v>0</v>
      </c>
    </row>
    <row r="914" spans="1:21" x14ac:dyDescent="0.25">
      <c r="A914" s="1" t="s">
        <v>1947</v>
      </c>
      <c r="B914" s="1" t="s">
        <v>1943</v>
      </c>
      <c r="C914" s="1" t="s">
        <v>27</v>
      </c>
      <c r="D914" s="2">
        <v>45073</v>
      </c>
      <c r="E914" s="2">
        <v>45177</v>
      </c>
      <c r="F914" s="2">
        <v>45073</v>
      </c>
      <c r="G914" s="2">
        <v>45177</v>
      </c>
      <c r="H914" s="1" t="s">
        <v>20</v>
      </c>
      <c r="I914" s="1">
        <v>100</v>
      </c>
      <c r="J914" s="1">
        <v>18940166</v>
      </c>
      <c r="L914" s="1" t="s">
        <v>1948</v>
      </c>
      <c r="M914" s="1" t="s">
        <v>1948</v>
      </c>
      <c r="N914" s="1" t="s">
        <v>22</v>
      </c>
      <c r="O914" s="1">
        <v>1</v>
      </c>
      <c r="P914" s="1" t="b">
        <v>1</v>
      </c>
      <c r="Q914" s="1" t="s">
        <v>29</v>
      </c>
      <c r="R914" s="1">
        <f t="shared" si="71"/>
        <v>0</v>
      </c>
      <c r="T914" s="1">
        <f t="shared" si="68"/>
        <v>0</v>
      </c>
      <c r="U914" s="1">
        <f t="shared" si="69"/>
        <v>0</v>
      </c>
    </row>
    <row r="915" spans="1:21" x14ac:dyDescent="0.25">
      <c r="A915" s="1" t="s">
        <v>1949</v>
      </c>
      <c r="B915" s="1" t="s">
        <v>1943</v>
      </c>
      <c r="C915" s="1" t="s">
        <v>31</v>
      </c>
      <c r="D915" s="2">
        <v>45177</v>
      </c>
      <c r="E915" s="2">
        <v>45307</v>
      </c>
      <c r="F915" s="2">
        <v>45177</v>
      </c>
      <c r="G915" s="2">
        <v>45307</v>
      </c>
      <c r="H915" s="1" t="s">
        <v>20</v>
      </c>
      <c r="I915" s="1">
        <v>100</v>
      </c>
      <c r="J915" s="1">
        <v>23675208</v>
      </c>
      <c r="L915" s="1" t="s">
        <v>1950</v>
      </c>
      <c r="M915" s="1" t="s">
        <v>1950</v>
      </c>
      <c r="N915" s="1" t="s">
        <v>22</v>
      </c>
      <c r="O915" s="1">
        <v>1</v>
      </c>
      <c r="P915" s="1" t="b">
        <v>1</v>
      </c>
      <c r="R915" s="1">
        <f t="shared" si="71"/>
        <v>0</v>
      </c>
      <c r="T915" s="1">
        <f t="shared" si="68"/>
        <v>0</v>
      </c>
      <c r="U915" s="1">
        <f t="shared" si="69"/>
        <v>0</v>
      </c>
    </row>
    <row r="916" spans="1:21" x14ac:dyDescent="0.25">
      <c r="A916" s="1" t="s">
        <v>1951</v>
      </c>
      <c r="B916" s="1" t="s">
        <v>1943</v>
      </c>
      <c r="C916" s="1" t="s">
        <v>34</v>
      </c>
      <c r="D916" s="2">
        <v>45307</v>
      </c>
      <c r="E916" s="2">
        <v>45524</v>
      </c>
      <c r="F916" s="2">
        <v>45307</v>
      </c>
      <c r="G916" s="2">
        <v>45524</v>
      </c>
      <c r="H916" s="1" t="s">
        <v>20</v>
      </c>
      <c r="I916" s="1">
        <v>100</v>
      </c>
      <c r="J916" s="1">
        <v>39458680</v>
      </c>
      <c r="L916" s="1" t="s">
        <v>1952</v>
      </c>
      <c r="M916" s="1" t="s">
        <v>1952</v>
      </c>
      <c r="N916" s="1" t="s">
        <v>22</v>
      </c>
      <c r="O916" s="1">
        <v>1</v>
      </c>
      <c r="P916" s="1" t="b">
        <v>1</v>
      </c>
      <c r="Q916" s="1" t="s">
        <v>29</v>
      </c>
      <c r="R916" s="1">
        <f t="shared" si="71"/>
        <v>0</v>
      </c>
      <c r="T916" s="1">
        <f t="shared" si="68"/>
        <v>0</v>
      </c>
      <c r="U916" s="1">
        <f t="shared" si="69"/>
        <v>0</v>
      </c>
    </row>
    <row r="917" spans="1:21" x14ac:dyDescent="0.25">
      <c r="A917" s="1" t="s">
        <v>1953</v>
      </c>
      <c r="B917" s="1" t="s">
        <v>1943</v>
      </c>
      <c r="C917" s="1" t="s">
        <v>37</v>
      </c>
      <c r="D917" s="2">
        <v>45524</v>
      </c>
      <c r="E917" s="2">
        <v>45611</v>
      </c>
      <c r="F917" s="2">
        <v>45524</v>
      </c>
      <c r="G917" s="2">
        <v>45611</v>
      </c>
      <c r="H917" s="1" t="s">
        <v>20</v>
      </c>
      <c r="I917" s="1">
        <v>100</v>
      </c>
      <c r="J917" s="1">
        <v>15783472</v>
      </c>
      <c r="L917" s="1" t="s">
        <v>1954</v>
      </c>
      <c r="M917" s="1" t="s">
        <v>1954</v>
      </c>
      <c r="N917" s="1" t="s">
        <v>22</v>
      </c>
      <c r="O917" s="1">
        <v>1</v>
      </c>
      <c r="P917" s="1" t="b">
        <v>1</v>
      </c>
      <c r="R917" s="1">
        <f t="shared" si="71"/>
        <v>0</v>
      </c>
      <c r="T917" s="1">
        <f t="shared" si="68"/>
        <v>0</v>
      </c>
      <c r="U917" s="1">
        <f t="shared" si="69"/>
        <v>0</v>
      </c>
    </row>
    <row r="918" spans="1:21" x14ac:dyDescent="0.25">
      <c r="A918" s="1" t="s">
        <v>1955</v>
      </c>
      <c r="B918" s="1" t="s">
        <v>1943</v>
      </c>
      <c r="C918" s="1" t="s">
        <v>41</v>
      </c>
      <c r="D918" s="2">
        <v>45611</v>
      </c>
      <c r="E918" s="2">
        <v>45680</v>
      </c>
      <c r="F918" s="2">
        <v>45611</v>
      </c>
      <c r="G918" s="2">
        <v>45680</v>
      </c>
      <c r="H918" s="1" t="s">
        <v>20</v>
      </c>
      <c r="I918" s="1">
        <v>100</v>
      </c>
      <c r="J918" s="1">
        <v>12626777</v>
      </c>
      <c r="L918" s="1" t="s">
        <v>1956</v>
      </c>
      <c r="M918" s="1" t="s">
        <v>1956</v>
      </c>
      <c r="N918" s="1" t="s">
        <v>22</v>
      </c>
      <c r="O918" s="1">
        <v>1</v>
      </c>
      <c r="P918" s="1" t="b">
        <v>1</v>
      </c>
      <c r="R918" s="1">
        <f t="shared" si="71"/>
        <v>0</v>
      </c>
      <c r="T918" s="1">
        <f t="shared" si="68"/>
        <v>0</v>
      </c>
      <c r="U918" s="1">
        <f t="shared" si="69"/>
        <v>0</v>
      </c>
    </row>
    <row r="919" spans="1:21" x14ac:dyDescent="0.25">
      <c r="A919" s="1" t="s">
        <v>1957</v>
      </c>
      <c r="B919" s="1" t="s">
        <v>1943</v>
      </c>
      <c r="C919" s="1" t="s">
        <v>45</v>
      </c>
      <c r="D919" s="2">
        <v>45680</v>
      </c>
      <c r="E919" s="2">
        <v>45767</v>
      </c>
      <c r="F919" s="2">
        <v>45680</v>
      </c>
      <c r="G919" s="2">
        <v>45767</v>
      </c>
      <c r="H919" s="1" t="s">
        <v>20</v>
      </c>
      <c r="I919" s="1">
        <v>100</v>
      </c>
      <c r="J919" s="1">
        <v>15783472</v>
      </c>
      <c r="L919" s="1" t="s">
        <v>1958</v>
      </c>
      <c r="M919" s="1" t="s">
        <v>1958</v>
      </c>
      <c r="N919" s="1" t="s">
        <v>22</v>
      </c>
      <c r="O919" s="1">
        <v>1</v>
      </c>
      <c r="P919" s="1" t="b">
        <v>1</v>
      </c>
      <c r="R919" s="1">
        <f t="shared" si="71"/>
        <v>0</v>
      </c>
      <c r="T919" s="1">
        <f t="shared" si="68"/>
        <v>0</v>
      </c>
      <c r="U919" s="1">
        <f t="shared" si="69"/>
        <v>0</v>
      </c>
    </row>
    <row r="920" spans="1:21" x14ac:dyDescent="0.25">
      <c r="A920" s="1" t="s">
        <v>1959</v>
      </c>
      <c r="B920" s="1" t="s">
        <v>1943</v>
      </c>
      <c r="C920" s="1" t="s">
        <v>48</v>
      </c>
      <c r="D920" s="2">
        <v>45767</v>
      </c>
      <c r="E920" s="2">
        <v>45793</v>
      </c>
      <c r="F920" s="2">
        <v>45767</v>
      </c>
      <c r="G920" s="2">
        <v>45793</v>
      </c>
      <c r="H920" s="1" t="s">
        <v>20</v>
      </c>
      <c r="I920" s="1">
        <v>100</v>
      </c>
      <c r="J920" s="1">
        <v>4735041</v>
      </c>
      <c r="L920" s="1" t="s">
        <v>1960</v>
      </c>
      <c r="M920" s="1" t="s">
        <v>1960</v>
      </c>
      <c r="N920" s="1" t="s">
        <v>22</v>
      </c>
      <c r="O920" s="1">
        <v>1</v>
      </c>
      <c r="P920" s="1" t="b">
        <v>1</v>
      </c>
      <c r="R920" s="1">
        <f t="shared" si="71"/>
        <v>0</v>
      </c>
      <c r="T920" s="1">
        <f t="shared" si="68"/>
        <v>0</v>
      </c>
      <c r="U920" s="1">
        <f t="shared" si="69"/>
        <v>0</v>
      </c>
    </row>
    <row r="921" spans="1:21" x14ac:dyDescent="0.25">
      <c r="A921" s="1" t="s">
        <v>1961</v>
      </c>
      <c r="B921" s="1" t="s">
        <v>1943</v>
      </c>
      <c r="C921" s="1" t="s">
        <v>51</v>
      </c>
      <c r="D921" s="2">
        <v>45793</v>
      </c>
      <c r="E921" s="2">
        <v>45810</v>
      </c>
      <c r="F921" s="2">
        <v>45793</v>
      </c>
      <c r="G921" s="2">
        <v>45810</v>
      </c>
      <c r="H921" s="1" t="s">
        <v>20</v>
      </c>
      <c r="I921" s="1">
        <v>100</v>
      </c>
      <c r="J921" s="1">
        <v>3156694</v>
      </c>
      <c r="L921" s="1" t="s">
        <v>1962</v>
      </c>
      <c r="M921" s="1" t="s">
        <v>1962</v>
      </c>
      <c r="N921" s="1" t="s">
        <v>22</v>
      </c>
      <c r="O921" s="1">
        <v>1</v>
      </c>
      <c r="P921" s="1" t="b">
        <v>1</v>
      </c>
      <c r="R921" s="1">
        <f t="shared" si="71"/>
        <v>0</v>
      </c>
      <c r="T921" s="1">
        <f t="shared" si="68"/>
        <v>0</v>
      </c>
      <c r="U921" s="1">
        <f t="shared" si="69"/>
        <v>0</v>
      </c>
    </row>
    <row r="922" spans="1:21" x14ac:dyDescent="0.25">
      <c r="A922" s="1" t="s">
        <v>1963</v>
      </c>
      <c r="B922" s="1" t="s">
        <v>1964</v>
      </c>
      <c r="C922" s="1" t="s">
        <v>19</v>
      </c>
      <c r="D922" s="2">
        <v>44030</v>
      </c>
      <c r="E922" s="2">
        <v>44073</v>
      </c>
      <c r="F922" s="2">
        <v>44030</v>
      </c>
      <c r="G922" s="2">
        <v>44073</v>
      </c>
      <c r="H922" s="1" t="s">
        <v>20</v>
      </c>
      <c r="I922" s="1">
        <v>100</v>
      </c>
      <c r="J922" s="1">
        <v>19053168</v>
      </c>
      <c r="L922" s="1" t="s">
        <v>1965</v>
      </c>
      <c r="M922" s="1" t="s">
        <v>1965</v>
      </c>
      <c r="N922" s="1" t="s">
        <v>22</v>
      </c>
      <c r="O922" s="1">
        <v>1</v>
      </c>
      <c r="P922" s="1" t="b">
        <v>1</v>
      </c>
      <c r="R922" s="1">
        <f t="shared" si="71"/>
        <v>0</v>
      </c>
      <c r="T922" s="1">
        <f t="shared" si="68"/>
        <v>0</v>
      </c>
      <c r="U922" s="1">
        <f t="shared" si="69"/>
        <v>0</v>
      </c>
    </row>
    <row r="923" spans="1:21" x14ac:dyDescent="0.25">
      <c r="A923" s="1" t="s">
        <v>1966</v>
      </c>
      <c r="B923" s="1" t="s">
        <v>1964</v>
      </c>
      <c r="C923" s="1" t="s">
        <v>24</v>
      </c>
      <c r="D923" s="2">
        <v>44073</v>
      </c>
      <c r="E923" s="2">
        <v>44160</v>
      </c>
      <c r="F923" s="2">
        <v>44073</v>
      </c>
      <c r="G923" s="2">
        <v>44160</v>
      </c>
      <c r="H923" s="1" t="s">
        <v>20</v>
      </c>
      <c r="I923" s="1">
        <v>100</v>
      </c>
      <c r="J923" s="1">
        <v>38106336</v>
      </c>
      <c r="L923" s="1" t="s">
        <v>1967</v>
      </c>
      <c r="M923" s="1" t="s">
        <v>1967</v>
      </c>
      <c r="N923" s="1" t="s">
        <v>22</v>
      </c>
      <c r="O923" s="1">
        <v>1</v>
      </c>
      <c r="P923" s="1" t="b">
        <v>1</v>
      </c>
      <c r="R923" s="1">
        <f t="shared" si="71"/>
        <v>0</v>
      </c>
      <c r="T923" s="1">
        <f t="shared" si="68"/>
        <v>0</v>
      </c>
      <c r="U923" s="1">
        <f t="shared" si="69"/>
        <v>0</v>
      </c>
    </row>
    <row r="924" spans="1:21" x14ac:dyDescent="0.25">
      <c r="A924" s="1" t="s">
        <v>1968</v>
      </c>
      <c r="B924" s="1" t="s">
        <v>1964</v>
      </c>
      <c r="C924" s="1" t="s">
        <v>27</v>
      </c>
      <c r="D924" s="2">
        <v>44160</v>
      </c>
      <c r="E924" s="2">
        <v>44264</v>
      </c>
      <c r="F924" s="2">
        <v>44160</v>
      </c>
      <c r="G924" s="2">
        <v>44264</v>
      </c>
      <c r="H924" s="1" t="s">
        <v>20</v>
      </c>
      <c r="I924" s="1">
        <v>100</v>
      </c>
      <c r="J924" s="1">
        <v>45727603</v>
      </c>
      <c r="L924" s="1" t="s">
        <v>1969</v>
      </c>
      <c r="M924" s="1" t="s">
        <v>1969</v>
      </c>
      <c r="N924" s="1" t="s">
        <v>22</v>
      </c>
      <c r="O924" s="1">
        <v>1</v>
      </c>
      <c r="P924" s="1" t="b">
        <v>1</v>
      </c>
      <c r="Q924" s="1" t="s">
        <v>29</v>
      </c>
      <c r="R924" s="1">
        <f t="shared" si="71"/>
        <v>0</v>
      </c>
      <c r="T924" s="1">
        <f t="shared" si="68"/>
        <v>0</v>
      </c>
      <c r="U924" s="1">
        <f t="shared" si="69"/>
        <v>0</v>
      </c>
    </row>
    <row r="925" spans="1:21" x14ac:dyDescent="0.25">
      <c r="A925" s="1" t="s">
        <v>1970</v>
      </c>
      <c r="B925" s="1" t="s">
        <v>1964</v>
      </c>
      <c r="C925" s="1" t="s">
        <v>31</v>
      </c>
      <c r="D925" s="2">
        <v>44264</v>
      </c>
      <c r="E925" s="2">
        <v>44394</v>
      </c>
      <c r="F925" s="2">
        <v>44264</v>
      </c>
      <c r="G925" s="2">
        <v>44394</v>
      </c>
      <c r="H925" s="1" t="s">
        <v>20</v>
      </c>
      <c r="I925" s="1">
        <v>100</v>
      </c>
      <c r="J925" s="1">
        <v>57159504</v>
      </c>
      <c r="L925" s="1" t="s">
        <v>1971</v>
      </c>
      <c r="M925" s="1" t="s">
        <v>1971</v>
      </c>
      <c r="N925" s="1" t="s">
        <v>22</v>
      </c>
      <c r="O925" s="1">
        <v>1</v>
      </c>
      <c r="P925" s="1" t="b">
        <v>1</v>
      </c>
      <c r="R925" s="1">
        <f t="shared" si="71"/>
        <v>0</v>
      </c>
      <c r="T925" s="1">
        <f t="shared" si="68"/>
        <v>0</v>
      </c>
      <c r="U925" s="1">
        <f t="shared" si="69"/>
        <v>0</v>
      </c>
    </row>
    <row r="926" spans="1:21" x14ac:dyDescent="0.25">
      <c r="A926" s="1" t="s">
        <v>1972</v>
      </c>
      <c r="B926" s="1" t="s">
        <v>1964</v>
      </c>
      <c r="C926" s="1" t="s">
        <v>34</v>
      </c>
      <c r="D926" s="2">
        <v>44394</v>
      </c>
      <c r="E926" s="2">
        <v>44611</v>
      </c>
      <c r="F926" s="2">
        <v>44394</v>
      </c>
      <c r="G926" s="2">
        <v>44611</v>
      </c>
      <c r="H926" s="1" t="s">
        <v>20</v>
      </c>
      <c r="I926" s="1">
        <v>100</v>
      </c>
      <c r="J926" s="1">
        <v>95265840</v>
      </c>
      <c r="L926" s="1" t="s">
        <v>1973</v>
      </c>
      <c r="M926" s="1" t="s">
        <v>1973</v>
      </c>
      <c r="N926" s="1" t="s">
        <v>22</v>
      </c>
      <c r="O926" s="1">
        <v>1</v>
      </c>
      <c r="P926" s="1" t="b">
        <v>1</v>
      </c>
      <c r="Q926" s="1" t="s">
        <v>29</v>
      </c>
      <c r="R926" s="1">
        <f t="shared" si="71"/>
        <v>0</v>
      </c>
      <c r="T926" s="1">
        <f t="shared" si="68"/>
        <v>0</v>
      </c>
      <c r="U926" s="1">
        <f t="shared" si="69"/>
        <v>0</v>
      </c>
    </row>
    <row r="927" spans="1:21" x14ac:dyDescent="0.25">
      <c r="A927" s="1" t="s">
        <v>1974</v>
      </c>
      <c r="B927" s="1" t="s">
        <v>1964</v>
      </c>
      <c r="C927" s="1" t="s">
        <v>37</v>
      </c>
      <c r="D927" s="2">
        <v>44611</v>
      </c>
      <c r="E927" s="2">
        <v>44698</v>
      </c>
      <c r="F927" s="2">
        <v>44611</v>
      </c>
      <c r="G927" s="2">
        <v>44698</v>
      </c>
      <c r="H927" s="1" t="s">
        <v>20</v>
      </c>
      <c r="I927" s="1">
        <v>100</v>
      </c>
      <c r="J927" s="1">
        <v>38106336</v>
      </c>
      <c r="L927" s="1" t="s">
        <v>1975</v>
      </c>
      <c r="M927" s="1" t="s">
        <v>1975</v>
      </c>
      <c r="N927" s="1" t="s">
        <v>22</v>
      </c>
      <c r="O927" s="1">
        <v>1</v>
      </c>
      <c r="P927" s="1" t="b">
        <v>1</v>
      </c>
      <c r="R927" s="1">
        <f t="shared" si="71"/>
        <v>0</v>
      </c>
      <c r="T927" s="1">
        <f t="shared" si="68"/>
        <v>0</v>
      </c>
      <c r="U927" s="1">
        <f t="shared" si="69"/>
        <v>0</v>
      </c>
    </row>
    <row r="928" spans="1:21" x14ac:dyDescent="0.25">
      <c r="A928" s="1" t="s">
        <v>1976</v>
      </c>
      <c r="B928" s="1" t="s">
        <v>1964</v>
      </c>
      <c r="C928" s="1" t="s">
        <v>41</v>
      </c>
      <c r="D928" s="2">
        <v>44698</v>
      </c>
      <c r="E928" s="2">
        <v>44767</v>
      </c>
      <c r="F928" s="2">
        <v>44698</v>
      </c>
      <c r="G928" s="2">
        <v>44767</v>
      </c>
      <c r="H928" s="1" t="s">
        <v>20</v>
      </c>
      <c r="I928" s="1">
        <v>100</v>
      </c>
      <c r="J928" s="1">
        <v>30485069</v>
      </c>
      <c r="L928" s="1" t="s">
        <v>1977</v>
      </c>
      <c r="M928" s="1" t="s">
        <v>1977</v>
      </c>
      <c r="N928" s="1" t="s">
        <v>22</v>
      </c>
      <c r="O928" s="1">
        <v>1</v>
      </c>
      <c r="P928" s="1" t="b">
        <v>1</v>
      </c>
      <c r="R928" s="1">
        <f t="shared" si="71"/>
        <v>0</v>
      </c>
      <c r="T928" s="1">
        <f t="shared" si="68"/>
        <v>0</v>
      </c>
      <c r="U928" s="1">
        <f t="shared" si="69"/>
        <v>0</v>
      </c>
    </row>
    <row r="929" spans="1:21" x14ac:dyDescent="0.25">
      <c r="A929" s="1" t="s">
        <v>1978</v>
      </c>
      <c r="B929" s="1" t="s">
        <v>1964</v>
      </c>
      <c r="C929" s="1" t="s">
        <v>45</v>
      </c>
      <c r="D929" s="2">
        <v>44767</v>
      </c>
      <c r="E929" s="2">
        <v>44854</v>
      </c>
      <c r="F929" s="2">
        <v>44767</v>
      </c>
      <c r="G929" s="2">
        <v>44854</v>
      </c>
      <c r="H929" s="1" t="s">
        <v>20</v>
      </c>
      <c r="I929" s="1">
        <v>100</v>
      </c>
      <c r="J929" s="1">
        <v>38106336</v>
      </c>
      <c r="L929" s="1" t="s">
        <v>1979</v>
      </c>
      <c r="M929" s="1" t="s">
        <v>1979</v>
      </c>
      <c r="N929" s="1" t="s">
        <v>22</v>
      </c>
      <c r="O929" s="1">
        <v>1</v>
      </c>
      <c r="P929" s="1" t="b">
        <v>1</v>
      </c>
      <c r="R929" s="1">
        <f t="shared" si="71"/>
        <v>0</v>
      </c>
      <c r="T929" s="1">
        <f t="shared" si="68"/>
        <v>0</v>
      </c>
      <c r="U929" s="1">
        <f t="shared" si="69"/>
        <v>0</v>
      </c>
    </row>
    <row r="930" spans="1:21" x14ac:dyDescent="0.25">
      <c r="A930" s="1" t="s">
        <v>1980</v>
      </c>
      <c r="B930" s="1" t="s">
        <v>1964</v>
      </c>
      <c r="C930" s="1" t="s">
        <v>48</v>
      </c>
      <c r="D930" s="2">
        <v>44854</v>
      </c>
      <c r="E930" s="2">
        <v>44880</v>
      </c>
      <c r="F930" s="2">
        <v>44854</v>
      </c>
      <c r="G930" s="2">
        <v>44880</v>
      </c>
      <c r="H930" s="1" t="s">
        <v>20</v>
      </c>
      <c r="I930" s="1">
        <v>100</v>
      </c>
      <c r="J930" s="1">
        <v>11431900</v>
      </c>
      <c r="L930" s="1" t="s">
        <v>1981</v>
      </c>
      <c r="M930" s="1" t="s">
        <v>1981</v>
      </c>
      <c r="N930" s="1" t="s">
        <v>22</v>
      </c>
      <c r="O930" s="1">
        <v>1</v>
      </c>
      <c r="P930" s="1" t="b">
        <v>1</v>
      </c>
      <c r="R930" s="1">
        <f t="shared" si="71"/>
        <v>0</v>
      </c>
      <c r="T930" s="1">
        <f t="shared" si="68"/>
        <v>0</v>
      </c>
      <c r="U930" s="1">
        <f t="shared" si="69"/>
        <v>0</v>
      </c>
    </row>
    <row r="931" spans="1:21" x14ac:dyDescent="0.25">
      <c r="A931" s="1" t="s">
        <v>1982</v>
      </c>
      <c r="B931" s="1" t="s">
        <v>1964</v>
      </c>
      <c r="C931" s="1" t="s">
        <v>51</v>
      </c>
      <c r="D931" s="2">
        <v>44880</v>
      </c>
      <c r="E931" s="2">
        <v>44897</v>
      </c>
      <c r="F931" s="2">
        <v>44880</v>
      </c>
      <c r="G931" s="2">
        <v>44897</v>
      </c>
      <c r="H931" s="1" t="s">
        <v>20</v>
      </c>
      <c r="I931" s="1">
        <v>100</v>
      </c>
      <c r="J931" s="1">
        <v>7621267</v>
      </c>
      <c r="L931" s="1" t="s">
        <v>1983</v>
      </c>
      <c r="M931" s="1" t="s">
        <v>1983</v>
      </c>
      <c r="N931" s="1" t="s">
        <v>22</v>
      </c>
      <c r="O931" s="1">
        <v>1</v>
      </c>
      <c r="P931" s="1" t="b">
        <v>1</v>
      </c>
      <c r="R931" s="1">
        <f t="shared" si="71"/>
        <v>0</v>
      </c>
      <c r="T931" s="1">
        <f t="shared" si="68"/>
        <v>0</v>
      </c>
      <c r="U931" s="1">
        <f t="shared" si="69"/>
        <v>0</v>
      </c>
    </row>
    <row r="932" spans="1:21" x14ac:dyDescent="0.25">
      <c r="A932" s="1" t="s">
        <v>1984</v>
      </c>
      <c r="B932" s="1" t="s">
        <v>1985</v>
      </c>
      <c r="C932" s="1" t="s">
        <v>19</v>
      </c>
      <c r="D932" s="2">
        <v>44396</v>
      </c>
      <c r="E932" s="2">
        <v>44456</v>
      </c>
      <c r="F932" s="2">
        <v>44396</v>
      </c>
      <c r="G932" s="2">
        <v>44456</v>
      </c>
      <c r="H932" s="1" t="s">
        <v>20</v>
      </c>
      <c r="I932" s="1">
        <v>100</v>
      </c>
      <c r="J932" s="1">
        <v>19768131</v>
      </c>
      <c r="L932" s="1" t="s">
        <v>1986</v>
      </c>
      <c r="M932" s="1" t="s">
        <v>1986</v>
      </c>
      <c r="N932" s="1" t="s">
        <v>22</v>
      </c>
      <c r="O932" s="1">
        <v>1</v>
      </c>
      <c r="P932" s="1" t="b">
        <v>1</v>
      </c>
      <c r="R932" s="1">
        <f t="shared" si="71"/>
        <v>0</v>
      </c>
      <c r="T932" s="1">
        <f t="shared" si="68"/>
        <v>0</v>
      </c>
      <c r="U932" s="1">
        <f t="shared" si="69"/>
        <v>0</v>
      </c>
    </row>
    <row r="933" spans="1:21" x14ac:dyDescent="0.25">
      <c r="A933" s="1" t="s">
        <v>1987</v>
      </c>
      <c r="B933" s="1" t="s">
        <v>1985</v>
      </c>
      <c r="C933" s="1" t="s">
        <v>24</v>
      </c>
      <c r="D933" s="2">
        <v>44456</v>
      </c>
      <c r="E933" s="2">
        <v>44576</v>
      </c>
      <c r="F933" s="2">
        <v>44456</v>
      </c>
      <c r="G933" s="2">
        <v>44576</v>
      </c>
      <c r="H933" s="1" t="s">
        <v>20</v>
      </c>
      <c r="I933" s="1">
        <v>100</v>
      </c>
      <c r="J933" s="1">
        <v>39536263</v>
      </c>
      <c r="L933" s="1" t="s">
        <v>1988</v>
      </c>
      <c r="M933" s="1" t="s">
        <v>1988</v>
      </c>
      <c r="N933" s="1" t="s">
        <v>22</v>
      </c>
      <c r="O933" s="1">
        <v>1</v>
      </c>
      <c r="P933" s="1" t="b">
        <v>1</v>
      </c>
      <c r="R933" s="1">
        <f t="shared" si="71"/>
        <v>0</v>
      </c>
      <c r="T933" s="1">
        <f t="shared" si="68"/>
        <v>0</v>
      </c>
      <c r="U933" s="1">
        <f t="shared" si="69"/>
        <v>0</v>
      </c>
    </row>
    <row r="934" spans="1:21" x14ac:dyDescent="0.25">
      <c r="A934" s="1" t="s">
        <v>1989</v>
      </c>
      <c r="B934" s="1" t="s">
        <v>1985</v>
      </c>
      <c r="C934" s="1" t="s">
        <v>27</v>
      </c>
      <c r="D934" s="2">
        <v>44576</v>
      </c>
      <c r="E934" s="2">
        <v>44720</v>
      </c>
      <c r="F934" s="2">
        <v>44576</v>
      </c>
      <c r="G934" s="2">
        <v>44720</v>
      </c>
      <c r="H934" s="1" t="s">
        <v>20</v>
      </c>
      <c r="I934" s="1">
        <v>100</v>
      </c>
      <c r="J934" s="1">
        <v>47443516</v>
      </c>
      <c r="L934" s="1" t="s">
        <v>1990</v>
      </c>
      <c r="M934" s="1" t="s">
        <v>1990</v>
      </c>
      <c r="N934" s="1" t="s">
        <v>22</v>
      </c>
      <c r="O934" s="1">
        <v>1</v>
      </c>
      <c r="P934" s="1" t="b">
        <v>1</v>
      </c>
      <c r="Q934" s="1" t="s">
        <v>29</v>
      </c>
      <c r="R934" s="1">
        <f t="shared" si="71"/>
        <v>0</v>
      </c>
      <c r="T934" s="1">
        <f t="shared" si="68"/>
        <v>0</v>
      </c>
      <c r="U934" s="1">
        <f t="shared" si="69"/>
        <v>0</v>
      </c>
    </row>
    <row r="935" spans="1:21" x14ac:dyDescent="0.25">
      <c r="A935" s="1" t="s">
        <v>1991</v>
      </c>
      <c r="B935" s="1" t="s">
        <v>1985</v>
      </c>
      <c r="C935" s="1" t="s">
        <v>31</v>
      </c>
      <c r="D935" s="2">
        <v>44720</v>
      </c>
      <c r="E935" s="2">
        <v>44900</v>
      </c>
      <c r="F935" s="2">
        <v>44720</v>
      </c>
      <c r="G935" s="2">
        <v>44900</v>
      </c>
      <c r="H935" s="1" t="s">
        <v>20</v>
      </c>
      <c r="I935" s="1">
        <v>100</v>
      </c>
      <c r="J935" s="1">
        <v>59304395</v>
      </c>
      <c r="L935" s="1" t="s">
        <v>1992</v>
      </c>
      <c r="M935" s="1" t="s">
        <v>1992</v>
      </c>
      <c r="N935" s="1" t="s">
        <v>22</v>
      </c>
      <c r="O935" s="1">
        <v>1</v>
      </c>
      <c r="P935" s="1" t="b">
        <v>1</v>
      </c>
      <c r="R935" s="1">
        <f t="shared" si="71"/>
        <v>0</v>
      </c>
      <c r="T935" s="1">
        <f t="shared" si="68"/>
        <v>0</v>
      </c>
      <c r="U935" s="1">
        <f t="shared" si="69"/>
        <v>0</v>
      </c>
    </row>
    <row r="936" spans="1:21" x14ac:dyDescent="0.25">
      <c r="A936" s="1" t="s">
        <v>1993</v>
      </c>
      <c r="B936" s="1" t="s">
        <v>1985</v>
      </c>
      <c r="C936" s="1" t="s">
        <v>34</v>
      </c>
      <c r="D936" s="2">
        <v>44900</v>
      </c>
      <c r="E936" s="2">
        <v>45200</v>
      </c>
      <c r="F936" s="2">
        <v>44900</v>
      </c>
      <c r="G936" s="2">
        <v>45200</v>
      </c>
      <c r="H936" s="1" t="s">
        <v>20</v>
      </c>
      <c r="I936" s="1">
        <v>100</v>
      </c>
      <c r="J936" s="1">
        <v>98840659</v>
      </c>
      <c r="L936" s="1" t="s">
        <v>1994</v>
      </c>
      <c r="M936" s="1" t="s">
        <v>1994</v>
      </c>
      <c r="N936" s="1" t="s">
        <v>22</v>
      </c>
      <c r="O936" s="1">
        <v>1</v>
      </c>
      <c r="P936" s="1" t="b">
        <v>1</v>
      </c>
      <c r="Q936" s="1" t="s">
        <v>29</v>
      </c>
      <c r="R936" s="1">
        <f t="shared" si="71"/>
        <v>0</v>
      </c>
      <c r="T936" s="1">
        <f t="shared" si="68"/>
        <v>0</v>
      </c>
      <c r="U936" s="1">
        <f t="shared" si="69"/>
        <v>0</v>
      </c>
    </row>
    <row r="937" spans="1:21" x14ac:dyDescent="0.25">
      <c r="A937" s="1" t="s">
        <v>1995</v>
      </c>
      <c r="B937" s="1" t="s">
        <v>1985</v>
      </c>
      <c r="C937" s="1" t="s">
        <v>37</v>
      </c>
      <c r="D937" s="2">
        <v>45200</v>
      </c>
      <c r="E937" s="2">
        <v>45320</v>
      </c>
      <c r="F937" s="2">
        <v>45200</v>
      </c>
      <c r="G937" s="2">
        <v>45320</v>
      </c>
      <c r="H937" s="1" t="s">
        <v>20</v>
      </c>
      <c r="I937" s="1">
        <v>100</v>
      </c>
      <c r="J937" s="1">
        <v>39536263</v>
      </c>
      <c r="L937" s="1" t="s">
        <v>1996</v>
      </c>
      <c r="M937" s="1" t="s">
        <v>1996</v>
      </c>
      <c r="N937" s="1" t="s">
        <v>22</v>
      </c>
      <c r="O937" s="1">
        <v>1</v>
      </c>
      <c r="P937" s="1" t="b">
        <v>1</v>
      </c>
      <c r="R937" s="1">
        <f t="shared" si="71"/>
        <v>0</v>
      </c>
      <c r="T937" s="1">
        <f t="shared" si="68"/>
        <v>0</v>
      </c>
      <c r="U937" s="1">
        <f t="shared" si="69"/>
        <v>0</v>
      </c>
    </row>
    <row r="938" spans="1:21" x14ac:dyDescent="0.25">
      <c r="A938" s="1" t="s">
        <v>1997</v>
      </c>
      <c r="B938" s="1" t="s">
        <v>1985</v>
      </c>
      <c r="C938" s="1" t="s">
        <v>41</v>
      </c>
      <c r="D938" s="2">
        <v>45320</v>
      </c>
      <c r="E938" s="2">
        <v>45416</v>
      </c>
      <c r="F938" s="2">
        <v>45320</v>
      </c>
      <c r="G938" s="2">
        <v>45416</v>
      </c>
      <c r="H938" s="1" t="s">
        <v>20</v>
      </c>
      <c r="I938" s="1">
        <v>100</v>
      </c>
      <c r="J938" s="1">
        <v>31629011</v>
      </c>
      <c r="L938" s="1" t="s">
        <v>1998</v>
      </c>
      <c r="M938" s="1" t="s">
        <v>1998</v>
      </c>
      <c r="N938" s="1" t="s">
        <v>22</v>
      </c>
      <c r="O938" s="1">
        <v>1</v>
      </c>
      <c r="P938" s="1" t="b">
        <v>1</v>
      </c>
      <c r="R938" s="1">
        <f t="shared" si="71"/>
        <v>0</v>
      </c>
      <c r="T938" s="1">
        <f t="shared" si="68"/>
        <v>0</v>
      </c>
      <c r="U938" s="1">
        <f t="shared" si="69"/>
        <v>0</v>
      </c>
    </row>
    <row r="939" spans="1:21" x14ac:dyDescent="0.25">
      <c r="A939" s="1" t="s">
        <v>1999</v>
      </c>
      <c r="B939" s="1" t="s">
        <v>1985</v>
      </c>
      <c r="C939" s="1" t="s">
        <v>45</v>
      </c>
      <c r="D939" s="2">
        <v>45416</v>
      </c>
      <c r="E939" s="2">
        <v>45536</v>
      </c>
      <c r="F939" s="2">
        <v>45416</v>
      </c>
      <c r="G939" s="2">
        <v>45536</v>
      </c>
      <c r="H939" s="1" t="s">
        <v>20</v>
      </c>
      <c r="I939" s="1">
        <v>100</v>
      </c>
      <c r="J939" s="1">
        <v>39536263</v>
      </c>
      <c r="L939" s="1" t="s">
        <v>2000</v>
      </c>
      <c r="M939" s="1" t="s">
        <v>2000</v>
      </c>
      <c r="N939" s="1" t="s">
        <v>22</v>
      </c>
      <c r="O939" s="1">
        <v>1</v>
      </c>
      <c r="P939" s="1" t="b">
        <v>1</v>
      </c>
      <c r="R939" s="1">
        <f t="shared" si="71"/>
        <v>0</v>
      </c>
      <c r="T939" s="1">
        <f t="shared" si="68"/>
        <v>0</v>
      </c>
      <c r="U939" s="1">
        <f t="shared" si="69"/>
        <v>0</v>
      </c>
    </row>
    <row r="940" spans="1:21" x14ac:dyDescent="0.25">
      <c r="A940" s="1" t="s">
        <v>2001</v>
      </c>
      <c r="B940" s="1" t="s">
        <v>1985</v>
      </c>
      <c r="C940" s="1" t="s">
        <v>48</v>
      </c>
      <c r="D940" s="2">
        <v>45536</v>
      </c>
      <c r="E940" s="2">
        <v>45572</v>
      </c>
      <c r="F940" s="2">
        <v>45536</v>
      </c>
      <c r="G940" s="2">
        <v>45572</v>
      </c>
      <c r="H940" s="1" t="s">
        <v>20</v>
      </c>
      <c r="I940" s="1">
        <v>100</v>
      </c>
      <c r="J940" s="1">
        <v>11860879</v>
      </c>
      <c r="L940" s="1" t="s">
        <v>2002</v>
      </c>
      <c r="M940" s="1" t="s">
        <v>2002</v>
      </c>
      <c r="N940" s="1" t="s">
        <v>22</v>
      </c>
      <c r="O940" s="1">
        <v>1</v>
      </c>
      <c r="P940" s="1" t="b">
        <v>1</v>
      </c>
      <c r="R940" s="1">
        <f t="shared" si="71"/>
        <v>0</v>
      </c>
      <c r="T940" s="1">
        <f t="shared" si="68"/>
        <v>0</v>
      </c>
      <c r="U940" s="1">
        <f t="shared" si="69"/>
        <v>0</v>
      </c>
    </row>
    <row r="941" spans="1:21" x14ac:dyDescent="0.25">
      <c r="A941" s="1" t="s">
        <v>2003</v>
      </c>
      <c r="B941" s="1" t="s">
        <v>1985</v>
      </c>
      <c r="C941" s="1" t="s">
        <v>51</v>
      </c>
      <c r="D941" s="2">
        <v>45572</v>
      </c>
      <c r="E941" s="2">
        <v>45596</v>
      </c>
      <c r="F941" s="2">
        <v>45572</v>
      </c>
      <c r="G941" s="2">
        <v>45596</v>
      </c>
      <c r="H941" s="1" t="s">
        <v>20</v>
      </c>
      <c r="I941" s="1">
        <v>100</v>
      </c>
      <c r="J941" s="1">
        <v>7907252</v>
      </c>
      <c r="L941" s="1" t="s">
        <v>2004</v>
      </c>
      <c r="M941" s="1" t="s">
        <v>2004</v>
      </c>
      <c r="N941" s="1" t="s">
        <v>22</v>
      </c>
      <c r="O941" s="1">
        <v>1</v>
      </c>
      <c r="P941" s="1" t="b">
        <v>1</v>
      </c>
      <c r="R941" s="1">
        <f t="shared" si="71"/>
        <v>0</v>
      </c>
      <c r="T941" s="1">
        <f t="shared" si="68"/>
        <v>0</v>
      </c>
      <c r="U941" s="1">
        <f t="shared" si="69"/>
        <v>0</v>
      </c>
    </row>
    <row r="942" spans="1:21" x14ac:dyDescent="0.25">
      <c r="A942" s="1" t="s">
        <v>2005</v>
      </c>
      <c r="B942" s="1" t="s">
        <v>2006</v>
      </c>
      <c r="C942" s="1" t="s">
        <v>19</v>
      </c>
      <c r="D942" s="2">
        <v>44890</v>
      </c>
      <c r="E942" s="2">
        <v>44915</v>
      </c>
      <c r="F942" s="2">
        <v>44890</v>
      </c>
      <c r="G942" s="2">
        <v>44915</v>
      </c>
      <c r="H942" s="1" t="s">
        <v>20</v>
      </c>
      <c r="I942" s="1">
        <v>100</v>
      </c>
      <c r="J942" s="1">
        <v>22893773</v>
      </c>
      <c r="L942" s="1" t="s">
        <v>2007</v>
      </c>
      <c r="M942" s="1" t="s">
        <v>2007</v>
      </c>
      <c r="N942" s="1" t="s">
        <v>22</v>
      </c>
      <c r="O942" s="1">
        <v>1</v>
      </c>
      <c r="P942" s="1" t="b">
        <v>1</v>
      </c>
      <c r="R942" s="1">
        <f t="shared" si="71"/>
        <v>0</v>
      </c>
      <c r="T942" s="1">
        <f t="shared" si="68"/>
        <v>0</v>
      </c>
      <c r="U942" s="1">
        <f t="shared" si="69"/>
        <v>0</v>
      </c>
    </row>
    <row r="943" spans="1:21" x14ac:dyDescent="0.25">
      <c r="A943" s="1" t="s">
        <v>2008</v>
      </c>
      <c r="B943" s="1" t="s">
        <v>2006</v>
      </c>
      <c r="C943" s="1" t="s">
        <v>24</v>
      </c>
      <c r="D943" s="2">
        <v>44915</v>
      </c>
      <c r="E943" s="2">
        <v>44966</v>
      </c>
      <c r="F943" s="2">
        <v>44915</v>
      </c>
      <c r="G943" s="2">
        <v>44966</v>
      </c>
      <c r="H943" s="1" t="s">
        <v>20</v>
      </c>
      <c r="I943" s="1">
        <v>100</v>
      </c>
      <c r="J943" s="1">
        <v>45787547</v>
      </c>
      <c r="L943" s="1" t="s">
        <v>2009</v>
      </c>
      <c r="M943" s="1" t="s">
        <v>2009</v>
      </c>
      <c r="N943" s="1" t="s">
        <v>22</v>
      </c>
      <c r="O943" s="1">
        <v>1</v>
      </c>
      <c r="P943" s="1" t="b">
        <v>1</v>
      </c>
      <c r="R943" s="1">
        <f t="shared" si="71"/>
        <v>0</v>
      </c>
      <c r="T943" s="1">
        <f t="shared" si="68"/>
        <v>0</v>
      </c>
      <c r="U943" s="1">
        <f t="shared" si="69"/>
        <v>0</v>
      </c>
    </row>
    <row r="944" spans="1:21" x14ac:dyDescent="0.25">
      <c r="A944" s="1" t="s">
        <v>2010</v>
      </c>
      <c r="B944" s="1" t="s">
        <v>2006</v>
      </c>
      <c r="C944" s="1" t="s">
        <v>27</v>
      </c>
      <c r="D944" s="2">
        <v>44966</v>
      </c>
      <c r="E944" s="2">
        <v>45027</v>
      </c>
      <c r="F944" s="2">
        <v>44966</v>
      </c>
      <c r="G944" s="2">
        <v>45027</v>
      </c>
      <c r="H944" s="1" t="s">
        <v>20</v>
      </c>
      <c r="I944" s="1">
        <v>100</v>
      </c>
      <c r="J944" s="1">
        <v>54945056</v>
      </c>
      <c r="L944" s="1" t="s">
        <v>2011</v>
      </c>
      <c r="M944" s="1" t="s">
        <v>2011</v>
      </c>
      <c r="N944" s="1" t="s">
        <v>22</v>
      </c>
      <c r="O944" s="1">
        <v>1</v>
      </c>
      <c r="P944" s="1" t="b">
        <v>1</v>
      </c>
      <c r="Q944" s="1" t="s">
        <v>29</v>
      </c>
      <c r="R944" s="1">
        <f t="shared" si="71"/>
        <v>0</v>
      </c>
      <c r="T944" s="1">
        <f t="shared" si="68"/>
        <v>0</v>
      </c>
      <c r="U944" s="1">
        <f t="shared" si="69"/>
        <v>0</v>
      </c>
    </row>
    <row r="945" spans="1:21" x14ac:dyDescent="0.25">
      <c r="A945" s="1" t="s">
        <v>2012</v>
      </c>
      <c r="B945" s="1" t="s">
        <v>2006</v>
      </c>
      <c r="C945" s="1" t="s">
        <v>31</v>
      </c>
      <c r="D945" s="2">
        <v>45027</v>
      </c>
      <c r="E945" s="2">
        <v>45103</v>
      </c>
      <c r="F945" s="2">
        <v>45027</v>
      </c>
      <c r="G945" s="2">
        <v>45103</v>
      </c>
      <c r="H945" s="1" t="s">
        <v>20</v>
      </c>
      <c r="I945" s="1">
        <v>100</v>
      </c>
      <c r="J945" s="1">
        <v>68681320</v>
      </c>
      <c r="L945" s="1" t="s">
        <v>2013</v>
      </c>
      <c r="M945" s="1" t="s">
        <v>2013</v>
      </c>
      <c r="N945" s="1" t="s">
        <v>22</v>
      </c>
      <c r="O945" s="1">
        <v>1</v>
      </c>
      <c r="P945" s="1" t="b">
        <v>1</v>
      </c>
      <c r="R945" s="1">
        <f t="shared" si="71"/>
        <v>0</v>
      </c>
      <c r="T945" s="1">
        <f t="shared" si="68"/>
        <v>0</v>
      </c>
      <c r="U945" s="1">
        <f t="shared" si="69"/>
        <v>0</v>
      </c>
    </row>
    <row r="946" spans="1:21" x14ac:dyDescent="0.25">
      <c r="A946" s="1" t="s">
        <v>2014</v>
      </c>
      <c r="B946" s="1" t="s">
        <v>2006</v>
      </c>
      <c r="C946" s="1" t="s">
        <v>34</v>
      </c>
      <c r="D946" s="2">
        <v>45103</v>
      </c>
      <c r="E946" s="2">
        <v>45230</v>
      </c>
      <c r="F946" s="2">
        <v>45103</v>
      </c>
      <c r="G946" s="2">
        <v>45230</v>
      </c>
      <c r="H946" s="1" t="s">
        <v>20</v>
      </c>
      <c r="I946" s="1">
        <v>100</v>
      </c>
      <c r="J946" s="1">
        <v>114468867</v>
      </c>
      <c r="L946" s="1" t="s">
        <v>2015</v>
      </c>
      <c r="M946" s="1" t="s">
        <v>2015</v>
      </c>
      <c r="N946" s="1" t="s">
        <v>22</v>
      </c>
      <c r="O946" s="1">
        <v>1</v>
      </c>
      <c r="P946" s="1" t="b">
        <v>1</v>
      </c>
      <c r="Q946" s="1" t="s">
        <v>29</v>
      </c>
      <c r="R946" s="1">
        <f t="shared" si="71"/>
        <v>0</v>
      </c>
      <c r="T946" s="1">
        <f t="shared" si="68"/>
        <v>0</v>
      </c>
      <c r="U946" s="1">
        <f t="shared" si="69"/>
        <v>0</v>
      </c>
    </row>
    <row r="947" spans="1:21" x14ac:dyDescent="0.25">
      <c r="A947" s="1" t="s">
        <v>2016</v>
      </c>
      <c r="B947" s="1" t="s">
        <v>2006</v>
      </c>
      <c r="C947" s="1" t="s">
        <v>37</v>
      </c>
      <c r="D947" s="2">
        <v>45230</v>
      </c>
      <c r="E947" s="2">
        <v>45281</v>
      </c>
      <c r="F947" s="2">
        <v>45230</v>
      </c>
      <c r="G947" s="2">
        <v>45281</v>
      </c>
      <c r="H947" s="1" t="s">
        <v>20</v>
      </c>
      <c r="I947" s="1">
        <v>100</v>
      </c>
      <c r="J947" s="1">
        <v>45787547</v>
      </c>
      <c r="L947" s="1" t="s">
        <v>2017</v>
      </c>
      <c r="M947" s="1" t="s">
        <v>2017</v>
      </c>
      <c r="N947" s="1" t="s">
        <v>22</v>
      </c>
      <c r="O947" s="1">
        <v>1</v>
      </c>
      <c r="P947" s="1" t="b">
        <v>1</v>
      </c>
      <c r="R947" s="1">
        <f t="shared" si="71"/>
        <v>0</v>
      </c>
      <c r="T947" s="1">
        <f t="shared" si="68"/>
        <v>0</v>
      </c>
      <c r="U947" s="1">
        <f t="shared" si="69"/>
        <v>0</v>
      </c>
    </row>
    <row r="948" spans="1:21" x14ac:dyDescent="0.25">
      <c r="A948" s="1" t="s">
        <v>2018</v>
      </c>
      <c r="B948" s="1" t="s">
        <v>2006</v>
      </c>
      <c r="C948" s="1" t="s">
        <v>41</v>
      </c>
      <c r="D948" s="2">
        <v>45281</v>
      </c>
      <c r="E948" s="2">
        <v>45321</v>
      </c>
      <c r="F948" s="2">
        <v>45281</v>
      </c>
      <c r="G948" s="2">
        <v>45321</v>
      </c>
      <c r="H948" s="1" t="s">
        <v>20</v>
      </c>
      <c r="I948" s="1">
        <v>100</v>
      </c>
      <c r="J948" s="1">
        <v>36630037</v>
      </c>
      <c r="L948" s="1" t="s">
        <v>2019</v>
      </c>
      <c r="M948" s="1" t="s">
        <v>2019</v>
      </c>
      <c r="N948" s="1" t="s">
        <v>22</v>
      </c>
      <c r="O948" s="1">
        <v>1</v>
      </c>
      <c r="P948" s="1" t="b">
        <v>1</v>
      </c>
      <c r="R948" s="1">
        <f t="shared" si="71"/>
        <v>0</v>
      </c>
      <c r="T948" s="1">
        <f t="shared" si="68"/>
        <v>0</v>
      </c>
      <c r="U948" s="1">
        <f t="shared" si="69"/>
        <v>0</v>
      </c>
    </row>
    <row r="949" spans="1:21" x14ac:dyDescent="0.25">
      <c r="A949" s="1" t="s">
        <v>2020</v>
      </c>
      <c r="B949" s="1" t="s">
        <v>2006</v>
      </c>
      <c r="C949" s="1" t="s">
        <v>45</v>
      </c>
      <c r="D949" s="2">
        <v>45321</v>
      </c>
      <c r="E949" s="2">
        <v>45372</v>
      </c>
      <c r="F949" s="2">
        <v>45321</v>
      </c>
      <c r="G949" s="2">
        <v>45372</v>
      </c>
      <c r="H949" s="1" t="s">
        <v>20</v>
      </c>
      <c r="I949" s="1">
        <v>100</v>
      </c>
      <c r="J949" s="1">
        <v>45787547</v>
      </c>
      <c r="L949" s="1" t="s">
        <v>2021</v>
      </c>
      <c r="M949" s="1" t="s">
        <v>2021</v>
      </c>
      <c r="N949" s="1" t="s">
        <v>22</v>
      </c>
      <c r="O949" s="1">
        <v>1</v>
      </c>
      <c r="P949" s="1" t="b">
        <v>1</v>
      </c>
      <c r="R949" s="1">
        <f t="shared" si="71"/>
        <v>0</v>
      </c>
      <c r="T949" s="1">
        <f t="shared" si="68"/>
        <v>0</v>
      </c>
      <c r="U949" s="1">
        <f t="shared" si="69"/>
        <v>0</v>
      </c>
    </row>
    <row r="950" spans="1:21" x14ac:dyDescent="0.25">
      <c r="A950" s="1" t="s">
        <v>2022</v>
      </c>
      <c r="B950" s="1" t="s">
        <v>2006</v>
      </c>
      <c r="C950" s="1" t="s">
        <v>48</v>
      </c>
      <c r="D950" s="2">
        <v>45372</v>
      </c>
      <c r="E950" s="2">
        <v>45387</v>
      </c>
      <c r="F950" s="2">
        <v>45372</v>
      </c>
      <c r="G950" s="2">
        <v>45387</v>
      </c>
      <c r="H950" s="1" t="s">
        <v>20</v>
      </c>
      <c r="I950" s="1">
        <v>100</v>
      </c>
      <c r="J950" s="1">
        <v>13736264</v>
      </c>
      <c r="L950" s="1" t="s">
        <v>2023</v>
      </c>
      <c r="M950" s="1" t="s">
        <v>2023</v>
      </c>
      <c r="N950" s="1" t="s">
        <v>22</v>
      </c>
      <c r="O950" s="1">
        <v>1</v>
      </c>
      <c r="P950" s="1" t="b">
        <v>1</v>
      </c>
      <c r="R950" s="1">
        <f t="shared" si="71"/>
        <v>0</v>
      </c>
      <c r="T950" s="1">
        <f t="shared" si="68"/>
        <v>0</v>
      </c>
      <c r="U950" s="1">
        <f t="shared" si="69"/>
        <v>0</v>
      </c>
    </row>
    <row r="951" spans="1:21" x14ac:dyDescent="0.25">
      <c r="A951" s="1" t="s">
        <v>2024</v>
      </c>
      <c r="B951" s="1" t="s">
        <v>2006</v>
      </c>
      <c r="C951" s="1" t="s">
        <v>51</v>
      </c>
      <c r="D951" s="2">
        <v>45387</v>
      </c>
      <c r="E951" s="2">
        <v>45397</v>
      </c>
      <c r="F951" s="2">
        <v>45387</v>
      </c>
      <c r="G951" s="2">
        <v>45397</v>
      </c>
      <c r="H951" s="1" t="s">
        <v>20</v>
      </c>
      <c r="I951" s="1">
        <v>100</v>
      </c>
      <c r="J951" s="1">
        <v>9157509</v>
      </c>
      <c r="L951" s="1" t="s">
        <v>2025</v>
      </c>
      <c r="M951" s="1" t="s">
        <v>2025</v>
      </c>
      <c r="N951" s="1" t="s">
        <v>22</v>
      </c>
      <c r="O951" s="1">
        <v>1</v>
      </c>
      <c r="P951" s="1" t="b">
        <v>1</v>
      </c>
      <c r="R951" s="1">
        <f t="shared" si="71"/>
        <v>0</v>
      </c>
      <c r="T951" s="1">
        <f t="shared" si="68"/>
        <v>0</v>
      </c>
      <c r="U951" s="1">
        <f t="shared" si="69"/>
        <v>0</v>
      </c>
    </row>
    <row r="952" spans="1:21" x14ac:dyDescent="0.25">
      <c r="A952" s="1" t="s">
        <v>2026</v>
      </c>
      <c r="B952" s="1" t="s">
        <v>2027</v>
      </c>
      <c r="C952" s="1" t="s">
        <v>19</v>
      </c>
      <c r="D952" s="2">
        <v>44511</v>
      </c>
      <c r="E952" s="2">
        <v>44551</v>
      </c>
      <c r="F952" s="2">
        <v>44511</v>
      </c>
      <c r="G952" s="2">
        <v>44551</v>
      </c>
      <c r="H952" s="1" t="s">
        <v>20</v>
      </c>
      <c r="I952" s="1">
        <v>100</v>
      </c>
      <c r="J952" s="1">
        <v>10579339</v>
      </c>
      <c r="L952" s="1" t="s">
        <v>2028</v>
      </c>
      <c r="M952" s="1" t="s">
        <v>2028</v>
      </c>
      <c r="N952" s="1" t="s">
        <v>22</v>
      </c>
      <c r="O952" s="1">
        <v>1</v>
      </c>
      <c r="P952" s="1" t="b">
        <v>1</v>
      </c>
      <c r="R952" s="1">
        <f t="shared" si="71"/>
        <v>0</v>
      </c>
      <c r="T952" s="1">
        <f t="shared" si="68"/>
        <v>0</v>
      </c>
      <c r="U952" s="1">
        <f t="shared" si="69"/>
        <v>0</v>
      </c>
    </row>
    <row r="953" spans="1:21" x14ac:dyDescent="0.25">
      <c r="A953" s="1" t="s">
        <v>2029</v>
      </c>
      <c r="B953" s="1" t="s">
        <v>2027</v>
      </c>
      <c r="C953" s="1" t="s">
        <v>24</v>
      </c>
      <c r="D953" s="2">
        <v>44551</v>
      </c>
      <c r="E953" s="2">
        <v>44632</v>
      </c>
      <c r="F953" s="2">
        <v>44551</v>
      </c>
      <c r="G953" s="2">
        <v>44632</v>
      </c>
      <c r="H953" s="1" t="s">
        <v>20</v>
      </c>
      <c r="I953" s="1">
        <v>100</v>
      </c>
      <c r="J953" s="1">
        <v>21158679</v>
      </c>
      <c r="L953" s="1" t="s">
        <v>2030</v>
      </c>
      <c r="M953" s="1" t="s">
        <v>2030</v>
      </c>
      <c r="N953" s="1" t="s">
        <v>22</v>
      </c>
      <c r="O953" s="1">
        <v>1</v>
      </c>
      <c r="P953" s="1" t="b">
        <v>1</v>
      </c>
      <c r="R953" s="1">
        <f t="shared" si="71"/>
        <v>0</v>
      </c>
      <c r="T953" s="1">
        <f t="shared" si="68"/>
        <v>0</v>
      </c>
      <c r="U953" s="1">
        <f t="shared" si="69"/>
        <v>0</v>
      </c>
    </row>
    <row r="954" spans="1:21" x14ac:dyDescent="0.25">
      <c r="A954" s="1" t="s">
        <v>2031</v>
      </c>
      <c r="B954" s="1" t="s">
        <v>2027</v>
      </c>
      <c r="C954" s="1" t="s">
        <v>27</v>
      </c>
      <c r="D954" s="2">
        <v>44632</v>
      </c>
      <c r="E954" s="2">
        <v>44729</v>
      </c>
      <c r="F954" s="2">
        <v>44632</v>
      </c>
      <c r="G954" s="2">
        <v>44729</v>
      </c>
      <c r="H954" s="1" t="s">
        <v>20</v>
      </c>
      <c r="I954" s="1">
        <v>100</v>
      </c>
      <c r="J954" s="1">
        <v>25390415</v>
      </c>
      <c r="L954" s="1" t="s">
        <v>2032</v>
      </c>
      <c r="M954" s="1" t="s">
        <v>2032</v>
      </c>
      <c r="N954" s="1" t="s">
        <v>22</v>
      </c>
      <c r="O954" s="1">
        <v>1</v>
      </c>
      <c r="P954" s="1" t="b">
        <v>1</v>
      </c>
      <c r="Q954" s="1" t="s">
        <v>29</v>
      </c>
      <c r="R954" s="1">
        <f t="shared" si="71"/>
        <v>0</v>
      </c>
      <c r="T954" s="1">
        <f t="shared" si="68"/>
        <v>0</v>
      </c>
      <c r="U954" s="1">
        <f t="shared" si="69"/>
        <v>0</v>
      </c>
    </row>
    <row r="955" spans="1:21" x14ac:dyDescent="0.25">
      <c r="A955" s="1" t="s">
        <v>2033</v>
      </c>
      <c r="B955" s="1" t="s">
        <v>2027</v>
      </c>
      <c r="C955" s="1" t="s">
        <v>31</v>
      </c>
      <c r="D955" s="2">
        <v>44729</v>
      </c>
      <c r="E955" s="2">
        <v>44850</v>
      </c>
      <c r="F955" s="2">
        <v>44729</v>
      </c>
      <c r="G955" s="2">
        <v>44850</v>
      </c>
      <c r="H955" s="1" t="s">
        <v>20</v>
      </c>
      <c r="I955" s="1">
        <v>100</v>
      </c>
      <c r="J955" s="1">
        <v>31738019</v>
      </c>
      <c r="L955" s="1" t="s">
        <v>2034</v>
      </c>
      <c r="M955" s="1" t="s">
        <v>2034</v>
      </c>
      <c r="N955" s="1" t="s">
        <v>22</v>
      </c>
      <c r="O955" s="1">
        <v>1</v>
      </c>
      <c r="P955" s="1" t="b">
        <v>1</v>
      </c>
      <c r="R955" s="1">
        <f t="shared" si="71"/>
        <v>0</v>
      </c>
      <c r="T955" s="1">
        <f t="shared" si="68"/>
        <v>0</v>
      </c>
      <c r="U955" s="1">
        <f t="shared" si="69"/>
        <v>0</v>
      </c>
    </row>
    <row r="956" spans="1:21" x14ac:dyDescent="0.25">
      <c r="A956" s="1" t="s">
        <v>2035</v>
      </c>
      <c r="B956" s="1" t="s">
        <v>2027</v>
      </c>
      <c r="C956" s="1" t="s">
        <v>34</v>
      </c>
      <c r="D956" s="2">
        <v>44850</v>
      </c>
      <c r="E956" s="2">
        <v>45052</v>
      </c>
      <c r="F956" s="2">
        <v>44850</v>
      </c>
      <c r="G956" s="2">
        <v>45052</v>
      </c>
      <c r="H956" s="1" t="s">
        <v>20</v>
      </c>
      <c r="I956" s="1">
        <v>100</v>
      </c>
      <c r="J956" s="1">
        <v>52896699</v>
      </c>
      <c r="L956" s="1" t="s">
        <v>2036</v>
      </c>
      <c r="M956" s="1" t="s">
        <v>2036</v>
      </c>
      <c r="N956" s="1" t="s">
        <v>22</v>
      </c>
      <c r="O956" s="1">
        <v>1</v>
      </c>
      <c r="P956" s="1" t="b">
        <v>1</v>
      </c>
      <c r="Q956" s="1" t="s">
        <v>29</v>
      </c>
      <c r="R956" s="1">
        <f t="shared" si="71"/>
        <v>0</v>
      </c>
      <c r="T956" s="1">
        <f t="shared" si="68"/>
        <v>0</v>
      </c>
      <c r="U956" s="1">
        <f t="shared" si="69"/>
        <v>0</v>
      </c>
    </row>
    <row r="957" spans="1:21" x14ac:dyDescent="0.25">
      <c r="A957" s="1" t="s">
        <v>2037</v>
      </c>
      <c r="B957" s="1" t="s">
        <v>2027</v>
      </c>
      <c r="C957" s="1" t="s">
        <v>37</v>
      </c>
      <c r="D957" s="2">
        <v>45052</v>
      </c>
      <c r="E957" s="2">
        <v>45133</v>
      </c>
      <c r="F957" s="2">
        <v>45052</v>
      </c>
      <c r="G957" s="2">
        <v>45133</v>
      </c>
      <c r="H957" s="1" t="s">
        <v>20</v>
      </c>
      <c r="I957" s="1">
        <v>100</v>
      </c>
      <c r="J957" s="1">
        <v>21158679</v>
      </c>
      <c r="L957" s="1" t="s">
        <v>2038</v>
      </c>
      <c r="M957" s="1" t="s">
        <v>2038</v>
      </c>
      <c r="N957" s="1" t="s">
        <v>22</v>
      </c>
      <c r="O957" s="1">
        <v>1</v>
      </c>
      <c r="P957" s="1" t="b">
        <v>1</v>
      </c>
      <c r="R957" s="1">
        <f t="shared" si="71"/>
        <v>0</v>
      </c>
      <c r="T957" s="1">
        <f t="shared" si="68"/>
        <v>0</v>
      </c>
      <c r="U957" s="1">
        <f t="shared" si="69"/>
        <v>0</v>
      </c>
    </row>
    <row r="958" spans="1:21" x14ac:dyDescent="0.25">
      <c r="A958" s="1" t="s">
        <v>2039</v>
      </c>
      <c r="B958" s="1" t="s">
        <v>2027</v>
      </c>
      <c r="C958" s="1" t="s">
        <v>41</v>
      </c>
      <c r="D958" s="2">
        <v>45133</v>
      </c>
      <c r="E958" s="2">
        <v>45197</v>
      </c>
      <c r="F958" s="2">
        <v>45133</v>
      </c>
      <c r="G958" s="2">
        <v>45197</v>
      </c>
      <c r="H958" s="1" t="s">
        <v>20</v>
      </c>
      <c r="I958" s="1">
        <v>100</v>
      </c>
      <c r="J958" s="1">
        <v>16926943</v>
      </c>
      <c r="L958" s="1" t="s">
        <v>2040</v>
      </c>
      <c r="M958" s="1" t="s">
        <v>2040</v>
      </c>
      <c r="N958" s="1" t="s">
        <v>22</v>
      </c>
      <c r="O958" s="1">
        <v>1</v>
      </c>
      <c r="P958" s="1" t="b">
        <v>1</v>
      </c>
      <c r="R958" s="1">
        <f t="shared" si="71"/>
        <v>0</v>
      </c>
      <c r="T958" s="1">
        <f t="shared" si="68"/>
        <v>0</v>
      </c>
      <c r="U958" s="1">
        <f t="shared" si="69"/>
        <v>0</v>
      </c>
    </row>
    <row r="959" spans="1:21" x14ac:dyDescent="0.25">
      <c r="A959" s="1" t="s">
        <v>2041</v>
      </c>
      <c r="B959" s="1" t="s">
        <v>2027</v>
      </c>
      <c r="C959" s="1" t="s">
        <v>45</v>
      </c>
      <c r="D959" s="2">
        <v>45197</v>
      </c>
      <c r="E959" s="2">
        <v>45278</v>
      </c>
      <c r="F959" s="2">
        <v>45197</v>
      </c>
      <c r="G959" s="2">
        <v>45278</v>
      </c>
      <c r="H959" s="1" t="s">
        <v>20</v>
      </c>
      <c r="I959" s="1">
        <v>100</v>
      </c>
      <c r="J959" s="1">
        <v>21158679</v>
      </c>
      <c r="L959" s="1" t="s">
        <v>2042</v>
      </c>
      <c r="M959" s="1" t="s">
        <v>2042</v>
      </c>
      <c r="N959" s="1" t="s">
        <v>22</v>
      </c>
      <c r="O959" s="1">
        <v>1</v>
      </c>
      <c r="P959" s="1" t="b">
        <v>1</v>
      </c>
      <c r="R959" s="1">
        <f t="shared" si="71"/>
        <v>0</v>
      </c>
      <c r="T959" s="1">
        <f t="shared" si="68"/>
        <v>0</v>
      </c>
      <c r="U959" s="1">
        <f t="shared" si="69"/>
        <v>0</v>
      </c>
    </row>
    <row r="960" spans="1:21" x14ac:dyDescent="0.25">
      <c r="A960" s="1" t="s">
        <v>2043</v>
      </c>
      <c r="B960" s="1" t="s">
        <v>2027</v>
      </c>
      <c r="C960" s="1" t="s">
        <v>48</v>
      </c>
      <c r="D960" s="2">
        <v>45278</v>
      </c>
      <c r="E960" s="2">
        <v>45302</v>
      </c>
      <c r="F960" s="2">
        <v>45278</v>
      </c>
      <c r="G960" s="2">
        <v>45302</v>
      </c>
      <c r="H960" s="1" t="s">
        <v>20</v>
      </c>
      <c r="I960" s="1">
        <v>100</v>
      </c>
      <c r="J960" s="1">
        <v>6347603</v>
      </c>
      <c r="L960" s="1" t="s">
        <v>2044</v>
      </c>
      <c r="M960" s="1" t="s">
        <v>2044</v>
      </c>
      <c r="N960" s="1" t="s">
        <v>22</v>
      </c>
      <c r="O960" s="1">
        <v>1</v>
      </c>
      <c r="P960" s="1" t="b">
        <v>1</v>
      </c>
      <c r="R960" s="1">
        <f t="shared" si="71"/>
        <v>0</v>
      </c>
      <c r="T960" s="1">
        <f t="shared" si="68"/>
        <v>0</v>
      </c>
      <c r="U960" s="1">
        <f t="shared" si="69"/>
        <v>0</v>
      </c>
    </row>
    <row r="961" spans="1:21" x14ac:dyDescent="0.25">
      <c r="A961" s="1" t="s">
        <v>2045</v>
      </c>
      <c r="B961" s="1" t="s">
        <v>2027</v>
      </c>
      <c r="C961" s="1" t="s">
        <v>51</v>
      </c>
      <c r="D961" s="2">
        <v>45302</v>
      </c>
      <c r="E961" s="2">
        <v>45318</v>
      </c>
      <c r="F961" s="2">
        <v>45302</v>
      </c>
      <c r="G961" s="2">
        <v>45318</v>
      </c>
      <c r="H961" s="1" t="s">
        <v>20</v>
      </c>
      <c r="I961" s="1">
        <v>100</v>
      </c>
      <c r="J961" s="1">
        <v>4231735</v>
      </c>
      <c r="L961" s="1" t="s">
        <v>2046</v>
      </c>
      <c r="M961" s="1" t="s">
        <v>2046</v>
      </c>
      <c r="N961" s="1" t="s">
        <v>22</v>
      </c>
      <c r="O961" s="1">
        <v>1</v>
      </c>
      <c r="P961" s="1" t="b">
        <v>1</v>
      </c>
      <c r="R961" s="1">
        <f t="shared" si="71"/>
        <v>0</v>
      </c>
      <c r="T961" s="1">
        <f t="shared" si="68"/>
        <v>0</v>
      </c>
      <c r="U961" s="1">
        <f t="shared" si="69"/>
        <v>0</v>
      </c>
    </row>
    <row r="962" spans="1:21" x14ac:dyDescent="0.25">
      <c r="A962" s="1" t="s">
        <v>2047</v>
      </c>
      <c r="B962" s="1" t="s">
        <v>2048</v>
      </c>
      <c r="C962" s="1" t="s">
        <v>19</v>
      </c>
      <c r="D962" s="2">
        <v>44643</v>
      </c>
      <c r="E962" s="2">
        <v>44689</v>
      </c>
      <c r="F962" s="2">
        <v>44643</v>
      </c>
      <c r="G962" s="2">
        <v>44689</v>
      </c>
      <c r="H962" s="1" t="s">
        <v>20</v>
      </c>
      <c r="I962" s="1">
        <v>100</v>
      </c>
      <c r="J962" s="1">
        <v>8922161</v>
      </c>
      <c r="L962" s="1" t="s">
        <v>2049</v>
      </c>
      <c r="M962" s="1" t="s">
        <v>2049</v>
      </c>
      <c r="N962" s="1" t="s">
        <v>22</v>
      </c>
      <c r="O962" s="1">
        <v>1</v>
      </c>
      <c r="P962" s="1" t="b">
        <v>1</v>
      </c>
      <c r="R962" s="1">
        <f t="shared" si="71"/>
        <v>0</v>
      </c>
      <c r="T962" s="1">
        <f t="shared" si="68"/>
        <v>0</v>
      </c>
      <c r="U962" s="1">
        <f t="shared" si="69"/>
        <v>0</v>
      </c>
    </row>
    <row r="963" spans="1:21" x14ac:dyDescent="0.25">
      <c r="A963" s="1" t="s">
        <v>2050</v>
      </c>
      <c r="B963" s="1" t="s">
        <v>2048</v>
      </c>
      <c r="C963" s="1" t="s">
        <v>24</v>
      </c>
      <c r="D963" s="2">
        <v>44689</v>
      </c>
      <c r="E963" s="2">
        <v>44782</v>
      </c>
      <c r="F963" s="2">
        <v>44689</v>
      </c>
      <c r="G963" s="2">
        <v>44782</v>
      </c>
      <c r="H963" s="1" t="s">
        <v>20</v>
      </c>
      <c r="I963" s="1">
        <v>100</v>
      </c>
      <c r="J963" s="1">
        <v>17844322</v>
      </c>
      <c r="L963" s="1" t="s">
        <v>2051</v>
      </c>
      <c r="M963" s="1" t="s">
        <v>2051</v>
      </c>
      <c r="N963" s="1" t="s">
        <v>22</v>
      </c>
      <c r="O963" s="1">
        <v>1</v>
      </c>
      <c r="P963" s="1" t="b">
        <v>1</v>
      </c>
      <c r="R963" s="1">
        <f t="shared" ref="R963:R1001" si="72">G963-E963</f>
        <v>0</v>
      </c>
      <c r="T963" s="1">
        <f t="shared" ref="T963:T1001" si="73">IF(S963&gt;0,1,0)</f>
        <v>0</v>
      </c>
      <c r="U963" s="1">
        <f t="shared" ref="U963:U1001" si="74">IF(S963&gt;0,S963,0)</f>
        <v>0</v>
      </c>
    </row>
    <row r="964" spans="1:21" x14ac:dyDescent="0.25">
      <c r="A964" s="1" t="s">
        <v>2052</v>
      </c>
      <c r="B964" s="1" t="s">
        <v>2048</v>
      </c>
      <c r="C964" s="1" t="s">
        <v>27</v>
      </c>
      <c r="D964" s="2">
        <v>44782</v>
      </c>
      <c r="E964" s="2">
        <v>44893</v>
      </c>
      <c r="F964" s="2">
        <v>44782</v>
      </c>
      <c r="G964" s="2">
        <v>44893</v>
      </c>
      <c r="H964" s="1" t="s">
        <v>20</v>
      </c>
      <c r="I964" s="1">
        <v>100</v>
      </c>
      <c r="J964" s="1">
        <v>21413187</v>
      </c>
      <c r="L964" s="1" t="s">
        <v>2053</v>
      </c>
      <c r="M964" s="1" t="s">
        <v>2053</v>
      </c>
      <c r="N964" s="1" t="s">
        <v>22</v>
      </c>
      <c r="O964" s="1">
        <v>1</v>
      </c>
      <c r="P964" s="1" t="b">
        <v>1</v>
      </c>
      <c r="Q964" s="1" t="s">
        <v>29</v>
      </c>
      <c r="R964" s="1">
        <f t="shared" si="72"/>
        <v>0</v>
      </c>
      <c r="T964" s="1">
        <f t="shared" si="73"/>
        <v>0</v>
      </c>
      <c r="U964" s="1">
        <f t="shared" si="74"/>
        <v>0</v>
      </c>
    </row>
    <row r="965" spans="1:21" x14ac:dyDescent="0.25">
      <c r="A965" s="1" t="s">
        <v>2054</v>
      </c>
      <c r="B965" s="1" t="s">
        <v>2048</v>
      </c>
      <c r="C965" s="1" t="s">
        <v>31</v>
      </c>
      <c r="D965" s="2">
        <v>44893</v>
      </c>
      <c r="E965" s="2">
        <v>45032</v>
      </c>
      <c r="F965" s="2">
        <v>44893</v>
      </c>
      <c r="G965" s="2">
        <v>45032</v>
      </c>
      <c r="H965" s="1" t="s">
        <v>20</v>
      </c>
      <c r="I965" s="1">
        <v>100</v>
      </c>
      <c r="J965" s="1">
        <v>26766484</v>
      </c>
      <c r="L965" s="1" t="s">
        <v>2055</v>
      </c>
      <c r="M965" s="1" t="s">
        <v>2055</v>
      </c>
      <c r="N965" s="1" t="s">
        <v>22</v>
      </c>
      <c r="O965" s="1">
        <v>1</v>
      </c>
      <c r="P965" s="1" t="b">
        <v>1</v>
      </c>
      <c r="R965" s="1">
        <f t="shared" si="72"/>
        <v>0</v>
      </c>
      <c r="T965" s="1">
        <f t="shared" si="73"/>
        <v>0</v>
      </c>
      <c r="U965" s="1">
        <f t="shared" si="74"/>
        <v>0</v>
      </c>
    </row>
    <row r="966" spans="1:21" x14ac:dyDescent="0.25">
      <c r="A966" s="1" t="s">
        <v>2056</v>
      </c>
      <c r="B966" s="1" t="s">
        <v>2048</v>
      </c>
      <c r="C966" s="1" t="s">
        <v>34</v>
      </c>
      <c r="D966" s="2">
        <v>45032</v>
      </c>
      <c r="E966" s="2">
        <v>45264</v>
      </c>
      <c r="F966" s="2">
        <v>45032</v>
      </c>
      <c r="G966" s="2">
        <v>45264</v>
      </c>
      <c r="H966" s="1" t="s">
        <v>20</v>
      </c>
      <c r="I966" s="1">
        <v>100</v>
      </c>
      <c r="J966" s="1">
        <v>44610807</v>
      </c>
      <c r="L966" s="1" t="s">
        <v>2057</v>
      </c>
      <c r="M966" s="1" t="s">
        <v>2057</v>
      </c>
      <c r="N966" s="1" t="s">
        <v>22</v>
      </c>
      <c r="O966" s="1">
        <v>1</v>
      </c>
      <c r="P966" s="1" t="b">
        <v>1</v>
      </c>
      <c r="Q966" s="1" t="s">
        <v>29</v>
      </c>
      <c r="R966" s="1">
        <f t="shared" si="72"/>
        <v>0</v>
      </c>
      <c r="T966" s="1">
        <f t="shared" si="73"/>
        <v>0</v>
      </c>
      <c r="U966" s="1">
        <f t="shared" si="74"/>
        <v>0</v>
      </c>
    </row>
    <row r="967" spans="1:21" x14ac:dyDescent="0.25">
      <c r="A967" s="1" t="s">
        <v>2058</v>
      </c>
      <c r="B967" s="1" t="s">
        <v>2048</v>
      </c>
      <c r="C967" s="1" t="s">
        <v>37</v>
      </c>
      <c r="D967" s="2">
        <v>45264</v>
      </c>
      <c r="E967" s="2">
        <v>45357</v>
      </c>
      <c r="F967" s="2">
        <v>45264</v>
      </c>
      <c r="G967" s="2">
        <v>45357</v>
      </c>
      <c r="H967" s="1" t="s">
        <v>20</v>
      </c>
      <c r="I967" s="1">
        <v>100</v>
      </c>
      <c r="J967" s="1">
        <v>17844322</v>
      </c>
      <c r="L967" s="1" t="s">
        <v>2059</v>
      </c>
      <c r="M967" s="1" t="s">
        <v>2059</v>
      </c>
      <c r="N967" s="1" t="s">
        <v>22</v>
      </c>
      <c r="O967" s="1">
        <v>1</v>
      </c>
      <c r="P967" s="1" t="b">
        <v>1</v>
      </c>
      <c r="R967" s="1">
        <f t="shared" si="72"/>
        <v>0</v>
      </c>
      <c r="T967" s="1">
        <f t="shared" si="73"/>
        <v>0</v>
      </c>
      <c r="U967" s="1">
        <f t="shared" si="74"/>
        <v>0</v>
      </c>
    </row>
    <row r="968" spans="1:21" x14ac:dyDescent="0.25">
      <c r="A968" s="1" t="s">
        <v>2060</v>
      </c>
      <c r="B968" s="1" t="s">
        <v>2048</v>
      </c>
      <c r="C968" s="1" t="s">
        <v>41</v>
      </c>
      <c r="D968" s="2">
        <v>45357</v>
      </c>
      <c r="E968" s="2">
        <v>45431</v>
      </c>
      <c r="F968" s="2">
        <v>45357</v>
      </c>
      <c r="G968" s="2">
        <v>45431</v>
      </c>
      <c r="H968" s="1" t="s">
        <v>20</v>
      </c>
      <c r="I968" s="1">
        <v>100</v>
      </c>
      <c r="J968" s="1">
        <v>14275458</v>
      </c>
      <c r="L968" s="1" t="s">
        <v>2061</v>
      </c>
      <c r="M968" s="1" t="s">
        <v>2061</v>
      </c>
      <c r="N968" s="1" t="s">
        <v>22</v>
      </c>
      <c r="O968" s="1">
        <v>1</v>
      </c>
      <c r="P968" s="1" t="b">
        <v>1</v>
      </c>
      <c r="R968" s="1">
        <f t="shared" si="72"/>
        <v>0</v>
      </c>
      <c r="T968" s="1">
        <f t="shared" si="73"/>
        <v>0</v>
      </c>
      <c r="U968" s="1">
        <f t="shared" si="74"/>
        <v>0</v>
      </c>
    </row>
    <row r="969" spans="1:21" x14ac:dyDescent="0.25">
      <c r="A969" s="1" t="s">
        <v>2062</v>
      </c>
      <c r="B969" s="1" t="s">
        <v>2048</v>
      </c>
      <c r="C969" s="1" t="s">
        <v>45</v>
      </c>
      <c r="D969" s="2">
        <v>45431</v>
      </c>
      <c r="E969" s="2">
        <v>45524</v>
      </c>
      <c r="F969" s="2">
        <v>45431</v>
      </c>
      <c r="G969" s="2">
        <v>45524</v>
      </c>
      <c r="H969" s="1" t="s">
        <v>20</v>
      </c>
      <c r="I969" s="1">
        <v>100</v>
      </c>
      <c r="J969" s="1">
        <v>17844322</v>
      </c>
      <c r="L969" s="1" t="s">
        <v>2063</v>
      </c>
      <c r="M969" s="1" t="s">
        <v>2063</v>
      </c>
      <c r="N969" s="1" t="s">
        <v>22</v>
      </c>
      <c r="O969" s="1">
        <v>1</v>
      </c>
      <c r="P969" s="1" t="b">
        <v>1</v>
      </c>
      <c r="R969" s="1">
        <f t="shared" si="72"/>
        <v>0</v>
      </c>
      <c r="T969" s="1">
        <f t="shared" si="73"/>
        <v>0</v>
      </c>
      <c r="U969" s="1">
        <f t="shared" si="74"/>
        <v>0</v>
      </c>
    </row>
    <row r="970" spans="1:21" x14ac:dyDescent="0.25">
      <c r="A970" s="1" t="s">
        <v>2064</v>
      </c>
      <c r="B970" s="1" t="s">
        <v>2048</v>
      </c>
      <c r="C970" s="1" t="s">
        <v>48</v>
      </c>
      <c r="D970" s="2">
        <v>45524</v>
      </c>
      <c r="E970" s="2">
        <v>45551</v>
      </c>
      <c r="F970" s="2">
        <v>45524</v>
      </c>
      <c r="G970" s="2">
        <v>45551</v>
      </c>
      <c r="H970" s="1" t="s">
        <v>20</v>
      </c>
      <c r="I970" s="1">
        <v>100</v>
      </c>
      <c r="J970" s="1">
        <v>5353296</v>
      </c>
      <c r="L970" s="1" t="s">
        <v>2065</v>
      </c>
      <c r="M970" s="1" t="s">
        <v>2065</v>
      </c>
      <c r="N970" s="1" t="s">
        <v>22</v>
      </c>
      <c r="O970" s="1">
        <v>1</v>
      </c>
      <c r="P970" s="1" t="b">
        <v>1</v>
      </c>
      <c r="R970" s="1">
        <f t="shared" si="72"/>
        <v>0</v>
      </c>
      <c r="T970" s="1">
        <f t="shared" si="73"/>
        <v>0</v>
      </c>
      <c r="U970" s="1">
        <f t="shared" si="74"/>
        <v>0</v>
      </c>
    </row>
    <row r="971" spans="1:21" x14ac:dyDescent="0.25">
      <c r="A971" s="1" t="s">
        <v>2066</v>
      </c>
      <c r="B971" s="1" t="s">
        <v>2048</v>
      </c>
      <c r="C971" s="1" t="s">
        <v>51</v>
      </c>
      <c r="D971" s="2">
        <v>45551</v>
      </c>
      <c r="E971" s="2">
        <v>45569</v>
      </c>
      <c r="F971" s="2">
        <v>45551</v>
      </c>
      <c r="G971" s="2">
        <v>45569</v>
      </c>
      <c r="H971" s="1" t="s">
        <v>20</v>
      </c>
      <c r="I971" s="1">
        <v>100</v>
      </c>
      <c r="J971" s="1">
        <v>3568864</v>
      </c>
      <c r="L971" s="1" t="s">
        <v>2067</v>
      </c>
      <c r="M971" s="1" t="s">
        <v>2067</v>
      </c>
      <c r="N971" s="1" t="s">
        <v>22</v>
      </c>
      <c r="O971" s="1">
        <v>1</v>
      </c>
      <c r="P971" s="1" t="b">
        <v>1</v>
      </c>
      <c r="R971" s="1">
        <f t="shared" si="72"/>
        <v>0</v>
      </c>
      <c r="T971" s="1">
        <f t="shared" si="73"/>
        <v>0</v>
      </c>
      <c r="U971" s="1">
        <f t="shared" si="74"/>
        <v>0</v>
      </c>
    </row>
    <row r="972" spans="1:21" x14ac:dyDescent="0.25">
      <c r="A972" s="1" t="s">
        <v>2068</v>
      </c>
      <c r="B972" s="1" t="s">
        <v>2069</v>
      </c>
      <c r="C972" s="1" t="s">
        <v>19</v>
      </c>
      <c r="D972" s="2">
        <v>44588</v>
      </c>
      <c r="E972" s="2">
        <v>44625</v>
      </c>
      <c r="F972" s="2">
        <v>44588</v>
      </c>
      <c r="G972" s="2">
        <v>44625</v>
      </c>
      <c r="H972" s="1" t="s">
        <v>20</v>
      </c>
      <c r="I972" s="1">
        <v>100</v>
      </c>
      <c r="J972" s="1">
        <v>3281400</v>
      </c>
      <c r="L972" s="1" t="s">
        <v>2070</v>
      </c>
      <c r="M972" s="1" t="s">
        <v>2070</v>
      </c>
      <c r="N972" s="1" t="s">
        <v>22</v>
      </c>
      <c r="O972" s="1">
        <v>1</v>
      </c>
      <c r="P972" s="1" t="b">
        <v>1</v>
      </c>
      <c r="R972" s="1">
        <f t="shared" si="72"/>
        <v>0</v>
      </c>
      <c r="T972" s="1">
        <f t="shared" si="73"/>
        <v>0</v>
      </c>
      <c r="U972" s="1">
        <f t="shared" si="74"/>
        <v>0</v>
      </c>
    </row>
    <row r="973" spans="1:21" x14ac:dyDescent="0.25">
      <c r="A973" s="1" t="s">
        <v>2071</v>
      </c>
      <c r="B973" s="1" t="s">
        <v>2069</v>
      </c>
      <c r="C973" s="1" t="s">
        <v>24</v>
      </c>
      <c r="D973" s="2">
        <v>44625</v>
      </c>
      <c r="E973" s="2">
        <v>44700</v>
      </c>
      <c r="F973" s="2">
        <v>44625</v>
      </c>
      <c r="G973" s="2">
        <v>44700</v>
      </c>
      <c r="H973" s="1" t="s">
        <v>20</v>
      </c>
      <c r="I973" s="1">
        <v>100</v>
      </c>
      <c r="J973" s="1">
        <v>6562800</v>
      </c>
      <c r="L973" s="1" t="s">
        <v>2072</v>
      </c>
      <c r="M973" s="1" t="s">
        <v>2072</v>
      </c>
      <c r="N973" s="1" t="s">
        <v>22</v>
      </c>
      <c r="O973" s="1">
        <v>1</v>
      </c>
      <c r="P973" s="1" t="b">
        <v>1</v>
      </c>
      <c r="R973" s="1">
        <f t="shared" si="72"/>
        <v>0</v>
      </c>
      <c r="T973" s="1">
        <f t="shared" si="73"/>
        <v>0</v>
      </c>
      <c r="U973" s="1">
        <f t="shared" si="74"/>
        <v>0</v>
      </c>
    </row>
    <row r="974" spans="1:21" x14ac:dyDescent="0.25">
      <c r="A974" s="1" t="s">
        <v>2073</v>
      </c>
      <c r="B974" s="1" t="s">
        <v>2069</v>
      </c>
      <c r="C974" s="1" t="s">
        <v>27</v>
      </c>
      <c r="D974" s="2">
        <v>44700</v>
      </c>
      <c r="E974" s="2">
        <v>44790</v>
      </c>
      <c r="F974" s="2">
        <v>44700</v>
      </c>
      <c r="G974" s="2">
        <v>44790</v>
      </c>
      <c r="H974" s="1" t="s">
        <v>20</v>
      </c>
      <c r="I974" s="1">
        <v>100</v>
      </c>
      <c r="J974" s="1">
        <v>7875360</v>
      </c>
      <c r="L974" s="1" t="s">
        <v>2074</v>
      </c>
      <c r="M974" s="1" t="s">
        <v>2074</v>
      </c>
      <c r="N974" s="1" t="s">
        <v>22</v>
      </c>
      <c r="O974" s="1">
        <v>1</v>
      </c>
      <c r="P974" s="1" t="b">
        <v>1</v>
      </c>
      <c r="Q974" s="1" t="s">
        <v>29</v>
      </c>
      <c r="R974" s="1">
        <f t="shared" si="72"/>
        <v>0</v>
      </c>
      <c r="T974" s="1">
        <f t="shared" si="73"/>
        <v>0</v>
      </c>
      <c r="U974" s="1">
        <f t="shared" si="74"/>
        <v>0</v>
      </c>
    </row>
    <row r="975" spans="1:21" x14ac:dyDescent="0.25">
      <c r="A975" s="1" t="s">
        <v>2075</v>
      </c>
      <c r="B975" s="1" t="s">
        <v>2069</v>
      </c>
      <c r="C975" s="1" t="s">
        <v>31</v>
      </c>
      <c r="D975" s="2">
        <v>44790</v>
      </c>
      <c r="E975" s="2">
        <v>44902</v>
      </c>
      <c r="F975" s="2">
        <v>44790</v>
      </c>
      <c r="G975" s="2">
        <v>44902</v>
      </c>
      <c r="H975" s="1" t="s">
        <v>20</v>
      </c>
      <c r="I975" s="1">
        <v>100</v>
      </c>
      <c r="J975" s="1">
        <v>9844200</v>
      </c>
      <c r="L975" s="1" t="s">
        <v>2076</v>
      </c>
      <c r="M975" s="1" t="s">
        <v>2076</v>
      </c>
      <c r="N975" s="1" t="s">
        <v>22</v>
      </c>
      <c r="O975" s="1">
        <v>1</v>
      </c>
      <c r="P975" s="1" t="b">
        <v>1</v>
      </c>
      <c r="R975" s="1">
        <f t="shared" si="72"/>
        <v>0</v>
      </c>
      <c r="T975" s="1">
        <f t="shared" si="73"/>
        <v>0</v>
      </c>
      <c r="U975" s="1">
        <f t="shared" si="74"/>
        <v>0</v>
      </c>
    </row>
    <row r="976" spans="1:21" x14ac:dyDescent="0.25">
      <c r="A976" s="1" t="s">
        <v>2077</v>
      </c>
      <c r="B976" s="1" t="s">
        <v>2069</v>
      </c>
      <c r="C976" s="1" t="s">
        <v>34</v>
      </c>
      <c r="D976" s="2">
        <v>44902</v>
      </c>
      <c r="E976" s="2">
        <v>45089</v>
      </c>
      <c r="F976" s="2">
        <v>44902</v>
      </c>
      <c r="G976" s="2">
        <v>45089</v>
      </c>
      <c r="H976" s="1" t="s">
        <v>20</v>
      </c>
      <c r="I976" s="1">
        <v>100</v>
      </c>
      <c r="J976" s="1">
        <v>16407001</v>
      </c>
      <c r="L976" s="1" t="s">
        <v>2078</v>
      </c>
      <c r="M976" s="1" t="s">
        <v>2078</v>
      </c>
      <c r="N976" s="1" t="s">
        <v>22</v>
      </c>
      <c r="O976" s="1">
        <v>1</v>
      </c>
      <c r="P976" s="1" t="b">
        <v>1</v>
      </c>
      <c r="Q976" s="1" t="s">
        <v>29</v>
      </c>
      <c r="R976" s="1">
        <f t="shared" si="72"/>
        <v>0</v>
      </c>
      <c r="T976" s="1">
        <f t="shared" si="73"/>
        <v>0</v>
      </c>
      <c r="U976" s="1">
        <f t="shared" si="74"/>
        <v>0</v>
      </c>
    </row>
    <row r="977" spans="1:21" x14ac:dyDescent="0.25">
      <c r="A977" s="1" t="s">
        <v>2079</v>
      </c>
      <c r="B977" s="1" t="s">
        <v>2069</v>
      </c>
      <c r="C977" s="1" t="s">
        <v>37</v>
      </c>
      <c r="D977" s="2">
        <v>45089</v>
      </c>
      <c r="E977" s="2">
        <v>45164</v>
      </c>
      <c r="F977" s="2">
        <v>45089</v>
      </c>
      <c r="G977" s="2">
        <v>45164</v>
      </c>
      <c r="H977" s="1" t="s">
        <v>20</v>
      </c>
      <c r="I977" s="1">
        <v>100</v>
      </c>
      <c r="J977" s="1">
        <v>6562800</v>
      </c>
      <c r="L977" s="1" t="s">
        <v>2080</v>
      </c>
      <c r="M977" s="1" t="s">
        <v>2080</v>
      </c>
      <c r="N977" s="1" t="s">
        <v>22</v>
      </c>
      <c r="O977" s="1">
        <v>1</v>
      </c>
      <c r="P977" s="1" t="b">
        <v>1</v>
      </c>
      <c r="R977" s="1">
        <f t="shared" si="72"/>
        <v>0</v>
      </c>
      <c r="T977" s="1">
        <f t="shared" si="73"/>
        <v>0</v>
      </c>
      <c r="U977" s="1">
        <f t="shared" si="74"/>
        <v>0</v>
      </c>
    </row>
    <row r="978" spans="1:21" x14ac:dyDescent="0.25">
      <c r="A978" s="1" t="s">
        <v>2081</v>
      </c>
      <c r="B978" s="1" t="s">
        <v>2069</v>
      </c>
      <c r="C978" s="1" t="s">
        <v>41</v>
      </c>
      <c r="D978" s="2">
        <v>45164</v>
      </c>
      <c r="E978" s="2">
        <v>45224</v>
      </c>
      <c r="F978" s="2">
        <v>45164</v>
      </c>
      <c r="G978" s="2">
        <v>45224</v>
      </c>
      <c r="H978" s="1" t="s">
        <v>20</v>
      </c>
      <c r="I978" s="1">
        <v>100</v>
      </c>
      <c r="J978" s="1">
        <v>5250240</v>
      </c>
      <c r="L978" s="1" t="s">
        <v>2082</v>
      </c>
      <c r="M978" s="1" t="s">
        <v>2082</v>
      </c>
      <c r="N978" s="1" t="s">
        <v>22</v>
      </c>
      <c r="O978" s="1">
        <v>1</v>
      </c>
      <c r="P978" s="1" t="b">
        <v>1</v>
      </c>
      <c r="R978" s="1">
        <f t="shared" si="72"/>
        <v>0</v>
      </c>
      <c r="T978" s="1">
        <f t="shared" si="73"/>
        <v>0</v>
      </c>
      <c r="U978" s="1">
        <f t="shared" si="74"/>
        <v>0</v>
      </c>
    </row>
    <row r="979" spans="1:21" x14ac:dyDescent="0.25">
      <c r="A979" s="1" t="s">
        <v>2083</v>
      </c>
      <c r="B979" s="1" t="s">
        <v>2069</v>
      </c>
      <c r="C979" s="1" t="s">
        <v>45</v>
      </c>
      <c r="D979" s="2">
        <v>45224</v>
      </c>
      <c r="E979" s="2">
        <v>45299</v>
      </c>
      <c r="F979" s="2">
        <v>45224</v>
      </c>
      <c r="G979" s="2">
        <v>45299</v>
      </c>
      <c r="H979" s="1" t="s">
        <v>20</v>
      </c>
      <c r="I979" s="1">
        <v>100</v>
      </c>
      <c r="J979" s="1">
        <v>6562800</v>
      </c>
      <c r="L979" s="1" t="s">
        <v>2084</v>
      </c>
      <c r="M979" s="1" t="s">
        <v>2084</v>
      </c>
      <c r="N979" s="1" t="s">
        <v>22</v>
      </c>
      <c r="O979" s="1">
        <v>1</v>
      </c>
      <c r="P979" s="1" t="b">
        <v>1</v>
      </c>
      <c r="R979" s="1">
        <f t="shared" si="72"/>
        <v>0</v>
      </c>
      <c r="T979" s="1">
        <f t="shared" si="73"/>
        <v>0</v>
      </c>
      <c r="U979" s="1">
        <f t="shared" si="74"/>
        <v>0</v>
      </c>
    </row>
    <row r="980" spans="1:21" x14ac:dyDescent="0.25">
      <c r="A980" s="1" t="s">
        <v>2085</v>
      </c>
      <c r="B980" s="1" t="s">
        <v>2069</v>
      </c>
      <c r="C980" s="1" t="s">
        <v>48</v>
      </c>
      <c r="D980" s="2">
        <v>45299</v>
      </c>
      <c r="E980" s="2">
        <v>45321</v>
      </c>
      <c r="F980" s="2">
        <v>45299</v>
      </c>
      <c r="G980" s="2">
        <v>45321</v>
      </c>
      <c r="H980" s="1" t="s">
        <v>20</v>
      </c>
      <c r="I980" s="1">
        <v>100</v>
      </c>
      <c r="J980" s="1">
        <v>1968840</v>
      </c>
      <c r="L980" s="1" t="s">
        <v>2086</v>
      </c>
      <c r="M980" s="1" t="s">
        <v>2086</v>
      </c>
      <c r="N980" s="1" t="s">
        <v>22</v>
      </c>
      <c r="O980" s="1">
        <v>1</v>
      </c>
      <c r="P980" s="1" t="b">
        <v>1</v>
      </c>
      <c r="R980" s="1">
        <f t="shared" si="72"/>
        <v>0</v>
      </c>
      <c r="T980" s="1">
        <f t="shared" si="73"/>
        <v>0</v>
      </c>
      <c r="U980" s="1">
        <f t="shared" si="74"/>
        <v>0</v>
      </c>
    </row>
    <row r="981" spans="1:21" x14ac:dyDescent="0.25">
      <c r="A981" s="1" t="s">
        <v>2087</v>
      </c>
      <c r="B981" s="1" t="s">
        <v>2069</v>
      </c>
      <c r="C981" s="1" t="s">
        <v>51</v>
      </c>
      <c r="D981" s="2">
        <v>45321</v>
      </c>
      <c r="E981" s="2">
        <v>45336</v>
      </c>
      <c r="F981" s="2">
        <v>45321</v>
      </c>
      <c r="G981" s="2">
        <v>45336</v>
      </c>
      <c r="H981" s="1" t="s">
        <v>20</v>
      </c>
      <c r="I981" s="1">
        <v>100</v>
      </c>
      <c r="J981" s="1">
        <v>1312560</v>
      </c>
      <c r="L981" s="1" t="s">
        <v>2088</v>
      </c>
      <c r="M981" s="1" t="s">
        <v>2088</v>
      </c>
      <c r="N981" s="1" t="s">
        <v>22</v>
      </c>
      <c r="O981" s="1">
        <v>1</v>
      </c>
      <c r="P981" s="1" t="b">
        <v>1</v>
      </c>
      <c r="R981" s="1">
        <f t="shared" si="72"/>
        <v>0</v>
      </c>
      <c r="T981" s="1">
        <f t="shared" si="73"/>
        <v>0</v>
      </c>
      <c r="U981" s="1">
        <f t="shared" si="74"/>
        <v>0</v>
      </c>
    </row>
    <row r="982" spans="1:21" x14ac:dyDescent="0.25">
      <c r="A982" s="1" t="s">
        <v>2089</v>
      </c>
      <c r="B982" s="1" t="s">
        <v>2090</v>
      </c>
      <c r="C982" s="1" t="s">
        <v>19</v>
      </c>
      <c r="D982" s="2">
        <v>44791</v>
      </c>
      <c r="E982" s="2">
        <v>44854</v>
      </c>
      <c r="F982" s="2">
        <v>44791</v>
      </c>
      <c r="G982" s="2">
        <v>44854</v>
      </c>
      <c r="H982" s="1" t="s">
        <v>20</v>
      </c>
      <c r="I982" s="1">
        <v>100</v>
      </c>
      <c r="J982" s="1">
        <v>18729272</v>
      </c>
      <c r="L982" s="1" t="s">
        <v>2091</v>
      </c>
      <c r="M982" s="1" t="s">
        <v>2091</v>
      </c>
      <c r="N982" s="1" t="s">
        <v>22</v>
      </c>
      <c r="O982" s="1">
        <v>1</v>
      </c>
      <c r="P982" s="1" t="b">
        <v>1</v>
      </c>
      <c r="R982" s="1">
        <f t="shared" si="72"/>
        <v>0</v>
      </c>
      <c r="T982" s="1">
        <f t="shared" si="73"/>
        <v>0</v>
      </c>
      <c r="U982" s="1">
        <f t="shared" si="74"/>
        <v>0</v>
      </c>
    </row>
    <row r="983" spans="1:21" x14ac:dyDescent="0.25">
      <c r="A983" s="1" t="s">
        <v>2092</v>
      </c>
      <c r="B983" s="1" t="s">
        <v>2090</v>
      </c>
      <c r="C983" s="1" t="s">
        <v>24</v>
      </c>
      <c r="D983" s="2">
        <v>44854</v>
      </c>
      <c r="E983" s="2">
        <v>44980</v>
      </c>
      <c r="F983" s="2">
        <v>44854</v>
      </c>
      <c r="G983" s="2">
        <v>44980</v>
      </c>
      <c r="H983" s="1" t="s">
        <v>20</v>
      </c>
      <c r="I983" s="1">
        <v>100</v>
      </c>
      <c r="J983" s="1">
        <v>37458544</v>
      </c>
      <c r="L983" s="1" t="s">
        <v>2093</v>
      </c>
      <c r="M983" s="1" t="s">
        <v>2093</v>
      </c>
      <c r="N983" s="1" t="s">
        <v>22</v>
      </c>
      <c r="O983" s="1">
        <v>1</v>
      </c>
      <c r="P983" s="1" t="b">
        <v>1</v>
      </c>
      <c r="R983" s="1">
        <f t="shared" si="72"/>
        <v>0</v>
      </c>
      <c r="T983" s="1">
        <f t="shared" si="73"/>
        <v>0</v>
      </c>
      <c r="U983" s="1">
        <f t="shared" si="74"/>
        <v>0</v>
      </c>
    </row>
    <row r="984" spans="1:21" x14ac:dyDescent="0.25">
      <c r="A984" s="1" t="s">
        <v>2094</v>
      </c>
      <c r="B984" s="1" t="s">
        <v>2090</v>
      </c>
      <c r="C984" s="1" t="s">
        <v>27</v>
      </c>
      <c r="D984" s="2">
        <v>44980</v>
      </c>
      <c r="E984" s="2">
        <v>45131</v>
      </c>
      <c r="F984" s="2">
        <v>44980</v>
      </c>
      <c r="G984" s="2">
        <v>45131</v>
      </c>
      <c r="H984" s="1" t="s">
        <v>20</v>
      </c>
      <c r="I984" s="1">
        <v>100</v>
      </c>
      <c r="J984" s="1">
        <v>44950253</v>
      </c>
      <c r="L984" s="1" t="s">
        <v>2095</v>
      </c>
      <c r="M984" s="1" t="s">
        <v>2095</v>
      </c>
      <c r="N984" s="1" t="s">
        <v>22</v>
      </c>
      <c r="O984" s="1">
        <v>1</v>
      </c>
      <c r="P984" s="1" t="b">
        <v>1</v>
      </c>
      <c r="Q984" s="1" t="s">
        <v>29</v>
      </c>
      <c r="R984" s="1">
        <f t="shared" si="72"/>
        <v>0</v>
      </c>
      <c r="T984" s="1">
        <f t="shared" si="73"/>
        <v>0</v>
      </c>
      <c r="U984" s="1">
        <f t="shared" si="74"/>
        <v>0</v>
      </c>
    </row>
    <row r="985" spans="1:21" x14ac:dyDescent="0.25">
      <c r="A985" s="1" t="s">
        <v>2096</v>
      </c>
      <c r="B985" s="1" t="s">
        <v>2090</v>
      </c>
      <c r="C985" s="1" t="s">
        <v>31</v>
      </c>
      <c r="D985" s="2">
        <v>45131</v>
      </c>
      <c r="E985" s="2">
        <v>45320</v>
      </c>
      <c r="F985" s="2">
        <v>45131</v>
      </c>
      <c r="G985" s="2">
        <v>45320</v>
      </c>
      <c r="H985" s="1" t="s">
        <v>20</v>
      </c>
      <c r="I985" s="1">
        <v>100</v>
      </c>
      <c r="J985" s="1">
        <v>56187816</v>
      </c>
      <c r="L985" s="1" t="s">
        <v>2097</v>
      </c>
      <c r="M985" s="1" t="s">
        <v>2097</v>
      </c>
      <c r="N985" s="1" t="s">
        <v>22</v>
      </c>
      <c r="O985" s="1">
        <v>1</v>
      </c>
      <c r="P985" s="1" t="b">
        <v>1</v>
      </c>
      <c r="R985" s="1">
        <f t="shared" si="72"/>
        <v>0</v>
      </c>
      <c r="T985" s="1">
        <f t="shared" si="73"/>
        <v>0</v>
      </c>
      <c r="U985" s="1">
        <f t="shared" si="74"/>
        <v>0</v>
      </c>
    </row>
    <row r="986" spans="1:21" x14ac:dyDescent="0.25">
      <c r="A986" s="1" t="s">
        <v>2098</v>
      </c>
      <c r="B986" s="1" t="s">
        <v>2090</v>
      </c>
      <c r="C986" s="1" t="s">
        <v>34</v>
      </c>
      <c r="D986" s="2">
        <v>45320</v>
      </c>
      <c r="E986" s="2">
        <v>45635</v>
      </c>
      <c r="F986" s="2">
        <v>45320</v>
      </c>
      <c r="G986" s="2">
        <v>45635</v>
      </c>
      <c r="H986" s="1" t="s">
        <v>20</v>
      </c>
      <c r="I986" s="1">
        <v>100</v>
      </c>
      <c r="J986" s="1">
        <v>93646361</v>
      </c>
      <c r="L986" s="1" t="s">
        <v>2099</v>
      </c>
      <c r="M986" s="1" t="s">
        <v>2099</v>
      </c>
      <c r="N986" s="1" t="s">
        <v>22</v>
      </c>
      <c r="O986" s="1">
        <v>1</v>
      </c>
      <c r="P986" s="1" t="b">
        <v>1</v>
      </c>
      <c r="Q986" s="1" t="s">
        <v>29</v>
      </c>
      <c r="R986" s="1">
        <f t="shared" si="72"/>
        <v>0</v>
      </c>
      <c r="T986" s="1">
        <f t="shared" si="73"/>
        <v>0</v>
      </c>
      <c r="U986" s="1">
        <f t="shared" si="74"/>
        <v>0</v>
      </c>
    </row>
    <row r="987" spans="1:21" x14ac:dyDescent="0.25">
      <c r="A987" s="1" t="s">
        <v>2100</v>
      </c>
      <c r="B987" s="1" t="s">
        <v>2090</v>
      </c>
      <c r="C987" s="1" t="s">
        <v>37</v>
      </c>
      <c r="D987" s="2">
        <v>45635</v>
      </c>
      <c r="E987" s="2">
        <v>45761</v>
      </c>
      <c r="F987" s="2">
        <v>45635</v>
      </c>
      <c r="G987" s="2">
        <v>45761</v>
      </c>
      <c r="H987" s="1" t="s">
        <v>20</v>
      </c>
      <c r="I987" s="1">
        <v>100</v>
      </c>
      <c r="J987" s="1">
        <v>37458544</v>
      </c>
      <c r="L987" s="1" t="s">
        <v>2101</v>
      </c>
      <c r="M987" s="1" t="s">
        <v>2101</v>
      </c>
      <c r="N987" s="1" t="s">
        <v>22</v>
      </c>
      <c r="O987" s="1">
        <v>1</v>
      </c>
      <c r="P987" s="1" t="b">
        <v>1</v>
      </c>
      <c r="R987" s="1">
        <f t="shared" si="72"/>
        <v>0</v>
      </c>
      <c r="T987" s="1">
        <f t="shared" si="73"/>
        <v>0</v>
      </c>
      <c r="U987" s="1">
        <f t="shared" si="74"/>
        <v>0</v>
      </c>
    </row>
    <row r="988" spans="1:21" x14ac:dyDescent="0.25">
      <c r="A988" s="1" t="s">
        <v>2102</v>
      </c>
      <c r="B988" s="1" t="s">
        <v>2090</v>
      </c>
      <c r="C988" s="1" t="s">
        <v>41</v>
      </c>
      <c r="D988" s="2">
        <v>45761</v>
      </c>
      <c r="E988" s="2">
        <v>45861</v>
      </c>
      <c r="F988" s="2">
        <v>45761</v>
      </c>
      <c r="G988" s="2">
        <v>45861</v>
      </c>
      <c r="H988" s="1" t="s">
        <v>20</v>
      </c>
      <c r="I988" s="1">
        <v>100</v>
      </c>
      <c r="J988" s="1">
        <v>29966835</v>
      </c>
      <c r="L988" s="1" t="s">
        <v>2103</v>
      </c>
      <c r="M988" s="1" t="s">
        <v>2103</v>
      </c>
      <c r="N988" s="1" t="s">
        <v>22</v>
      </c>
      <c r="O988" s="1">
        <v>1</v>
      </c>
      <c r="P988" s="1" t="b">
        <v>1</v>
      </c>
      <c r="R988" s="1">
        <f t="shared" si="72"/>
        <v>0</v>
      </c>
      <c r="T988" s="1">
        <f t="shared" si="73"/>
        <v>0</v>
      </c>
      <c r="U988" s="1">
        <f t="shared" si="74"/>
        <v>0</v>
      </c>
    </row>
    <row r="989" spans="1:21" x14ac:dyDescent="0.25">
      <c r="A989" s="1" t="s">
        <v>2104</v>
      </c>
      <c r="B989" s="1" t="s">
        <v>2090</v>
      </c>
      <c r="C989" s="1" t="s">
        <v>45</v>
      </c>
      <c r="D989" s="2">
        <v>45861</v>
      </c>
      <c r="E989" s="2">
        <v>45987</v>
      </c>
      <c r="F989" s="2">
        <v>45861</v>
      </c>
      <c r="G989" s="2">
        <v>45987</v>
      </c>
      <c r="H989" s="1" t="s">
        <v>20</v>
      </c>
      <c r="I989" s="1">
        <v>100</v>
      </c>
      <c r="J989" s="1">
        <v>37458544</v>
      </c>
      <c r="L989" s="1" t="s">
        <v>2105</v>
      </c>
      <c r="M989" s="1" t="s">
        <v>2105</v>
      </c>
      <c r="N989" s="1" t="s">
        <v>22</v>
      </c>
      <c r="O989" s="1">
        <v>1</v>
      </c>
      <c r="P989" s="1" t="b">
        <v>1</v>
      </c>
      <c r="R989" s="1">
        <f t="shared" si="72"/>
        <v>0</v>
      </c>
      <c r="T989" s="1">
        <f t="shared" si="73"/>
        <v>0</v>
      </c>
      <c r="U989" s="1">
        <f t="shared" si="74"/>
        <v>0</v>
      </c>
    </row>
    <row r="990" spans="1:21" x14ac:dyDescent="0.25">
      <c r="A990" s="1" t="s">
        <v>2106</v>
      </c>
      <c r="B990" s="1" t="s">
        <v>2090</v>
      </c>
      <c r="C990" s="1" t="s">
        <v>48</v>
      </c>
      <c r="D990" s="2">
        <v>45987</v>
      </c>
      <c r="E990" s="2">
        <v>46024</v>
      </c>
      <c r="F990" s="2">
        <v>45987</v>
      </c>
      <c r="G990" s="2">
        <v>46024</v>
      </c>
      <c r="H990" s="1" t="s">
        <v>20</v>
      </c>
      <c r="I990" s="1">
        <v>100</v>
      </c>
      <c r="J990" s="1">
        <v>11237563</v>
      </c>
      <c r="L990" s="1" t="s">
        <v>2107</v>
      </c>
      <c r="M990" s="1" t="s">
        <v>2107</v>
      </c>
      <c r="N990" s="1" t="s">
        <v>22</v>
      </c>
      <c r="O990" s="1">
        <v>1</v>
      </c>
      <c r="P990" s="1" t="b">
        <v>1</v>
      </c>
      <c r="R990" s="1">
        <f t="shared" si="72"/>
        <v>0</v>
      </c>
      <c r="T990" s="1">
        <f t="shared" si="73"/>
        <v>0</v>
      </c>
      <c r="U990" s="1">
        <f t="shared" si="74"/>
        <v>0</v>
      </c>
    </row>
    <row r="991" spans="1:21" x14ac:dyDescent="0.25">
      <c r="A991" s="1" t="s">
        <v>2108</v>
      </c>
      <c r="B991" s="1" t="s">
        <v>2090</v>
      </c>
      <c r="C991" s="1" t="s">
        <v>51</v>
      </c>
      <c r="D991" s="2">
        <v>46024</v>
      </c>
      <c r="E991" s="2">
        <v>46049</v>
      </c>
      <c r="F991" s="2">
        <v>46024</v>
      </c>
      <c r="G991" s="2">
        <v>46049</v>
      </c>
      <c r="H991" s="1" t="s">
        <v>20</v>
      </c>
      <c r="I991" s="1">
        <v>100</v>
      </c>
      <c r="J991" s="1">
        <v>7491708</v>
      </c>
      <c r="L991" s="1" t="s">
        <v>2109</v>
      </c>
      <c r="M991" s="1" t="s">
        <v>2109</v>
      </c>
      <c r="N991" s="1" t="s">
        <v>22</v>
      </c>
      <c r="O991" s="1">
        <v>1</v>
      </c>
      <c r="P991" s="1" t="b">
        <v>1</v>
      </c>
      <c r="R991" s="1">
        <f t="shared" si="72"/>
        <v>0</v>
      </c>
      <c r="T991" s="1">
        <f t="shared" si="73"/>
        <v>0</v>
      </c>
      <c r="U991" s="1">
        <f t="shared" si="74"/>
        <v>0</v>
      </c>
    </row>
    <row r="992" spans="1:21" x14ac:dyDescent="0.25">
      <c r="A992" s="1" t="s">
        <v>2110</v>
      </c>
      <c r="B992" s="1" t="s">
        <v>2111</v>
      </c>
      <c r="C992" s="1" t="s">
        <v>19</v>
      </c>
      <c r="D992" s="2">
        <v>45035</v>
      </c>
      <c r="E992" s="2">
        <v>45066</v>
      </c>
      <c r="F992" s="2">
        <v>45035</v>
      </c>
      <c r="G992" s="2">
        <v>45066</v>
      </c>
      <c r="H992" s="1" t="s">
        <v>20</v>
      </c>
      <c r="I992" s="1">
        <v>100</v>
      </c>
      <c r="J992" s="1">
        <v>19076133</v>
      </c>
      <c r="L992" s="1" t="s">
        <v>2112</v>
      </c>
      <c r="M992" s="1" t="s">
        <v>2112</v>
      </c>
      <c r="N992" s="1" t="s">
        <v>22</v>
      </c>
      <c r="O992" s="1">
        <v>1</v>
      </c>
      <c r="P992" s="1" t="b">
        <v>1</v>
      </c>
      <c r="R992" s="1">
        <f t="shared" si="72"/>
        <v>0</v>
      </c>
      <c r="T992" s="1">
        <f t="shared" si="73"/>
        <v>0</v>
      </c>
      <c r="U992" s="1">
        <f t="shared" si="74"/>
        <v>0</v>
      </c>
    </row>
    <row r="993" spans="1:21" x14ac:dyDescent="0.25">
      <c r="A993" s="1" t="s">
        <v>2113</v>
      </c>
      <c r="B993" s="1" t="s">
        <v>2111</v>
      </c>
      <c r="C993" s="1" t="s">
        <v>24</v>
      </c>
      <c r="D993" s="2">
        <v>45066</v>
      </c>
      <c r="E993" s="2">
        <v>45129</v>
      </c>
      <c r="F993" s="2">
        <v>45066</v>
      </c>
      <c r="G993" s="2">
        <v>45129</v>
      </c>
      <c r="H993" s="1" t="s">
        <v>20</v>
      </c>
      <c r="I993" s="1">
        <v>100</v>
      </c>
      <c r="J993" s="1">
        <v>38152267</v>
      </c>
      <c r="L993" s="1" t="s">
        <v>2114</v>
      </c>
      <c r="M993" s="1" t="s">
        <v>2114</v>
      </c>
      <c r="N993" s="1" t="s">
        <v>22</v>
      </c>
      <c r="O993" s="1">
        <v>1</v>
      </c>
      <c r="P993" s="1" t="b">
        <v>1</v>
      </c>
      <c r="R993" s="1">
        <f t="shared" si="72"/>
        <v>0</v>
      </c>
      <c r="T993" s="1">
        <f t="shared" si="73"/>
        <v>0</v>
      </c>
      <c r="U993" s="1">
        <f t="shared" si="74"/>
        <v>0</v>
      </c>
    </row>
    <row r="994" spans="1:21" x14ac:dyDescent="0.25">
      <c r="A994" s="1" t="s">
        <v>2115</v>
      </c>
      <c r="B994" s="1" t="s">
        <v>2111</v>
      </c>
      <c r="C994" s="1" t="s">
        <v>27</v>
      </c>
      <c r="D994" s="2">
        <v>45129</v>
      </c>
      <c r="E994" s="2">
        <v>45204</v>
      </c>
      <c r="F994" s="2">
        <v>45129</v>
      </c>
      <c r="G994" s="2">
        <v>45204</v>
      </c>
      <c r="H994" s="1" t="s">
        <v>20</v>
      </c>
      <c r="I994" s="1">
        <v>100</v>
      </c>
      <c r="J994" s="1">
        <v>45782721</v>
      </c>
      <c r="L994" s="1" t="s">
        <v>2116</v>
      </c>
      <c r="M994" s="1" t="s">
        <v>2116</v>
      </c>
      <c r="N994" s="1" t="s">
        <v>22</v>
      </c>
      <c r="O994" s="1">
        <v>1</v>
      </c>
      <c r="P994" s="1" t="b">
        <v>1</v>
      </c>
      <c r="Q994" s="1" t="s">
        <v>29</v>
      </c>
      <c r="R994" s="1">
        <f t="shared" si="72"/>
        <v>0</v>
      </c>
      <c r="T994" s="1">
        <f t="shared" si="73"/>
        <v>0</v>
      </c>
      <c r="U994" s="1">
        <f t="shared" si="74"/>
        <v>0</v>
      </c>
    </row>
    <row r="995" spans="1:21" x14ac:dyDescent="0.25">
      <c r="A995" s="1" t="s">
        <v>2117</v>
      </c>
      <c r="B995" s="1" t="s">
        <v>2111</v>
      </c>
      <c r="C995" s="1" t="s">
        <v>31</v>
      </c>
      <c r="D995" s="2">
        <v>45204</v>
      </c>
      <c r="E995" s="2">
        <v>45298</v>
      </c>
      <c r="F995" s="2">
        <v>45204</v>
      </c>
      <c r="G995" s="2">
        <v>45298</v>
      </c>
      <c r="H995" s="1" t="s">
        <v>20</v>
      </c>
      <c r="I995" s="1">
        <v>100</v>
      </c>
      <c r="J995" s="1">
        <v>57228401</v>
      </c>
      <c r="L995" s="1" t="s">
        <v>2118</v>
      </c>
      <c r="M995" s="1" t="s">
        <v>2118</v>
      </c>
      <c r="N995" s="1" t="s">
        <v>22</v>
      </c>
      <c r="O995" s="1">
        <v>1</v>
      </c>
      <c r="P995" s="1" t="b">
        <v>1</v>
      </c>
      <c r="R995" s="1">
        <f t="shared" si="72"/>
        <v>0</v>
      </c>
      <c r="T995" s="1">
        <f t="shared" si="73"/>
        <v>0</v>
      </c>
      <c r="U995" s="1">
        <f t="shared" si="74"/>
        <v>0</v>
      </c>
    </row>
    <row r="996" spans="1:21" x14ac:dyDescent="0.25">
      <c r="A996" s="1" t="s">
        <v>2119</v>
      </c>
      <c r="B996" s="1" t="s">
        <v>2111</v>
      </c>
      <c r="C996" s="1" t="s">
        <v>34</v>
      </c>
      <c r="D996" s="2">
        <v>45298</v>
      </c>
      <c r="E996" s="2">
        <v>45455</v>
      </c>
      <c r="F996" s="2">
        <v>45298</v>
      </c>
      <c r="G996" s="2">
        <v>45455</v>
      </c>
      <c r="H996" s="1" t="s">
        <v>20</v>
      </c>
      <c r="I996" s="1">
        <v>100</v>
      </c>
      <c r="J996" s="1">
        <v>95380669</v>
      </c>
      <c r="L996" s="1" t="s">
        <v>2120</v>
      </c>
      <c r="M996" s="1" t="s">
        <v>2120</v>
      </c>
      <c r="N996" s="1" t="s">
        <v>22</v>
      </c>
      <c r="O996" s="1">
        <v>1</v>
      </c>
      <c r="P996" s="1" t="b">
        <v>1</v>
      </c>
      <c r="Q996" s="1" t="s">
        <v>29</v>
      </c>
      <c r="R996" s="1">
        <f t="shared" si="72"/>
        <v>0</v>
      </c>
      <c r="T996" s="1">
        <f t="shared" si="73"/>
        <v>0</v>
      </c>
      <c r="U996" s="1">
        <f t="shared" si="74"/>
        <v>0</v>
      </c>
    </row>
    <row r="997" spans="1:21" x14ac:dyDescent="0.25">
      <c r="A997" s="1" t="s">
        <v>2121</v>
      </c>
      <c r="B997" s="1" t="s">
        <v>2111</v>
      </c>
      <c r="C997" s="1" t="s">
        <v>37</v>
      </c>
      <c r="D997" s="2">
        <v>45455</v>
      </c>
      <c r="E997" s="2">
        <v>45518</v>
      </c>
      <c r="F997" s="2">
        <v>45455</v>
      </c>
      <c r="G997" s="2">
        <v>45518</v>
      </c>
      <c r="H997" s="1" t="s">
        <v>20</v>
      </c>
      <c r="I997" s="1">
        <v>100</v>
      </c>
      <c r="J997" s="1">
        <v>38152267</v>
      </c>
      <c r="L997" s="1" t="s">
        <v>2122</v>
      </c>
      <c r="M997" s="1" t="s">
        <v>2122</v>
      </c>
      <c r="N997" s="1" t="s">
        <v>22</v>
      </c>
      <c r="O997" s="1">
        <v>1</v>
      </c>
      <c r="P997" s="1" t="b">
        <v>1</v>
      </c>
      <c r="R997" s="1">
        <f t="shared" si="72"/>
        <v>0</v>
      </c>
      <c r="T997" s="1">
        <f t="shared" si="73"/>
        <v>0</v>
      </c>
      <c r="U997" s="1">
        <f t="shared" si="74"/>
        <v>0</v>
      </c>
    </row>
    <row r="998" spans="1:21" x14ac:dyDescent="0.25">
      <c r="A998" s="1" t="s">
        <v>2123</v>
      </c>
      <c r="B998" s="1" t="s">
        <v>2111</v>
      </c>
      <c r="C998" s="1" t="s">
        <v>41</v>
      </c>
      <c r="D998" s="2">
        <v>45518</v>
      </c>
      <c r="E998" s="2">
        <v>45568</v>
      </c>
      <c r="F998" s="2">
        <v>45518</v>
      </c>
      <c r="G998" s="2">
        <v>45568</v>
      </c>
      <c r="H998" s="1" t="s">
        <v>20</v>
      </c>
      <c r="I998" s="1">
        <v>100</v>
      </c>
      <c r="J998" s="1">
        <v>30521814</v>
      </c>
      <c r="L998" s="1" t="s">
        <v>2124</v>
      </c>
      <c r="M998" s="1" t="s">
        <v>2124</v>
      </c>
      <c r="N998" s="1" t="s">
        <v>22</v>
      </c>
      <c r="O998" s="1">
        <v>1</v>
      </c>
      <c r="P998" s="1" t="b">
        <v>1</v>
      </c>
      <c r="R998" s="1">
        <f t="shared" si="72"/>
        <v>0</v>
      </c>
      <c r="T998" s="1">
        <f t="shared" si="73"/>
        <v>0</v>
      </c>
      <c r="U998" s="1">
        <f t="shared" si="74"/>
        <v>0</v>
      </c>
    </row>
    <row r="999" spans="1:21" x14ac:dyDescent="0.25">
      <c r="A999" s="1" t="s">
        <v>2125</v>
      </c>
      <c r="B999" s="1" t="s">
        <v>2111</v>
      </c>
      <c r="C999" s="1" t="s">
        <v>45</v>
      </c>
      <c r="D999" s="2">
        <v>45568</v>
      </c>
      <c r="E999" s="2">
        <v>45631</v>
      </c>
      <c r="F999" s="2">
        <v>45568</v>
      </c>
      <c r="G999" s="2">
        <v>45631</v>
      </c>
      <c r="H999" s="1" t="s">
        <v>20</v>
      </c>
      <c r="I999" s="1">
        <v>100</v>
      </c>
      <c r="J999" s="1">
        <v>38152267</v>
      </c>
      <c r="L999" s="1" t="s">
        <v>2126</v>
      </c>
      <c r="M999" s="1" t="s">
        <v>2126</v>
      </c>
      <c r="N999" s="1" t="s">
        <v>22</v>
      </c>
      <c r="O999" s="1">
        <v>1</v>
      </c>
      <c r="P999" s="1" t="b">
        <v>1</v>
      </c>
      <c r="R999" s="1">
        <f t="shared" si="72"/>
        <v>0</v>
      </c>
      <c r="T999" s="1">
        <f t="shared" si="73"/>
        <v>0</v>
      </c>
      <c r="U999" s="1">
        <f t="shared" si="74"/>
        <v>0</v>
      </c>
    </row>
    <row r="1000" spans="1:21" x14ac:dyDescent="0.25">
      <c r="A1000" s="1" t="s">
        <v>2127</v>
      </c>
      <c r="B1000" s="1" t="s">
        <v>2111</v>
      </c>
      <c r="C1000" s="1" t="s">
        <v>48</v>
      </c>
      <c r="D1000" s="2">
        <v>45631</v>
      </c>
      <c r="E1000" s="2">
        <v>45649</v>
      </c>
      <c r="F1000" s="2">
        <v>45631</v>
      </c>
      <c r="G1000" s="2">
        <v>45649</v>
      </c>
      <c r="H1000" s="1" t="s">
        <v>20</v>
      </c>
      <c r="I1000" s="1">
        <v>100</v>
      </c>
      <c r="J1000" s="1">
        <v>11445680</v>
      </c>
      <c r="L1000" s="1" t="s">
        <v>2128</v>
      </c>
      <c r="M1000" s="1" t="s">
        <v>2128</v>
      </c>
      <c r="N1000" s="1" t="s">
        <v>22</v>
      </c>
      <c r="O1000" s="1">
        <v>1</v>
      </c>
      <c r="P1000" s="1" t="b">
        <v>1</v>
      </c>
      <c r="R1000" s="1">
        <f t="shared" si="72"/>
        <v>0</v>
      </c>
      <c r="T1000" s="1">
        <f t="shared" si="73"/>
        <v>0</v>
      </c>
      <c r="U1000" s="1">
        <f t="shared" si="74"/>
        <v>0</v>
      </c>
    </row>
    <row r="1001" spans="1:21" x14ac:dyDescent="0.25">
      <c r="A1001" s="1" t="s">
        <v>2129</v>
      </c>
      <c r="B1001" s="1" t="s">
        <v>2111</v>
      </c>
      <c r="C1001" s="1" t="s">
        <v>51</v>
      </c>
      <c r="D1001" s="2">
        <v>45649</v>
      </c>
      <c r="E1001" s="2">
        <v>45661</v>
      </c>
      <c r="F1001" s="2">
        <v>45649</v>
      </c>
      <c r="G1001" s="2">
        <v>45661</v>
      </c>
      <c r="H1001" s="1" t="s">
        <v>20</v>
      </c>
      <c r="I1001" s="1">
        <v>100</v>
      </c>
      <c r="J1001" s="1">
        <v>7630453</v>
      </c>
      <c r="L1001" s="1" t="s">
        <v>2130</v>
      </c>
      <c r="M1001" s="1" t="s">
        <v>2130</v>
      </c>
      <c r="N1001" s="1" t="s">
        <v>22</v>
      </c>
      <c r="O1001" s="1">
        <v>1</v>
      </c>
      <c r="P1001" s="1" t="b">
        <v>1</v>
      </c>
      <c r="R1001" s="1">
        <f t="shared" si="72"/>
        <v>0</v>
      </c>
      <c r="T1001" s="1">
        <f t="shared" si="73"/>
        <v>0</v>
      </c>
      <c r="U1001" s="1">
        <f t="shared" si="74"/>
        <v>0</v>
      </c>
    </row>
  </sheetData>
  <autoFilter ref="A1:U1001" xr:uid="{90AC68D4-6872-4142-9ADA-9B303195DE52}"/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عدد المشاريع اللي عندها Overdue</vt:lpstr>
      <vt:lpstr>توزيع التأخير حسب Phase</vt:lpstr>
      <vt:lpstr>Average Delay by Project</vt:lpstr>
      <vt:lpstr>project_phases</vt:lpstr>
      <vt:lpstr>project_phases!Print_Area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Abouelhamd Ezzat</dc:creator>
  <cp:lastModifiedBy>Abouelhamd Ezzat</cp:lastModifiedBy>
  <dcterms:created xsi:type="dcterms:W3CDTF">2026-09-28T16:46:29Z</dcterms:created>
  <dcterms:modified xsi:type="dcterms:W3CDTF">2026-09-30T22:43:40Z</dcterms:modified>
</cp:coreProperties>
</file>